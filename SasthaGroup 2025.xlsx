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final_list" sheetId="3" r:id="rId6"/>
    <sheet state="visible" name="working_copy" sheetId="4" r:id="rId7"/>
  </sheets>
  <definedNames/>
  <calcPr/>
</workbook>
</file>

<file path=xl/sharedStrings.xml><?xml version="1.0" encoding="utf-8"?>
<sst xmlns="http://schemas.openxmlformats.org/spreadsheetml/2006/main" count="1120" uniqueCount="315">
  <si>
    <t>Tamil Name</t>
  </si>
  <si>
    <t>English Name</t>
  </si>
  <si>
    <t>ஜெ. ஸ்டாலின்</t>
  </si>
  <si>
    <t>குகன்</t>
  </si>
  <si>
    <t>முகிலன்</t>
  </si>
  <si>
    <t>கார்த்திகேயன்</t>
  </si>
  <si>
    <t>அன்பு</t>
  </si>
  <si>
    <t>நவின் சீனிவாசன்</t>
  </si>
  <si>
    <t>Jaga</t>
  </si>
  <si>
    <t>மணி குமார்</t>
  </si>
  <si>
    <t>மோகன்ராஜா</t>
  </si>
  <si>
    <t>sunder</t>
  </si>
  <si>
    <t>ஜீவா</t>
  </si>
  <si>
    <t>சாய் சரண்</t>
  </si>
  <si>
    <t>ஜெகதீஷ்</t>
  </si>
  <si>
    <t>திருச்சி சரண்</t>
  </si>
  <si>
    <t>சஞ்ஜிதா ஸ்ரீ</t>
  </si>
  <si>
    <t>குணா</t>
  </si>
  <si>
    <t>ஹரிபாலன்</t>
  </si>
  <si>
    <t>சித்தார்த்</t>
  </si>
  <si>
    <t>மாது</t>
  </si>
  <si>
    <t>முரளி</t>
  </si>
  <si>
    <t>தினேஷ்</t>
  </si>
  <si>
    <t>Sunder</t>
  </si>
  <si>
    <t>அரவிந்தன்</t>
  </si>
  <si>
    <t>அஜீத் குமார்</t>
  </si>
  <si>
    <t>தினேஷ்குமார்</t>
  </si>
  <si>
    <t>J. ரமணன்</t>
  </si>
  <si>
    <t>லால்குடி M.லோகேஷ்</t>
  </si>
  <si>
    <t>Udhayakumar</t>
  </si>
  <si>
    <t>Thilipkumar</t>
  </si>
  <si>
    <t>மகேந்திரன்</t>
  </si>
  <si>
    <t>நரேன் பிரசாத்</t>
  </si>
  <si>
    <t>ஹாசினி</t>
  </si>
  <si>
    <t>Jandi mani</t>
  </si>
  <si>
    <t>Maran</t>
  </si>
  <si>
    <t>முருகன்</t>
  </si>
  <si>
    <t>Vijay</t>
  </si>
  <si>
    <t>டீ கடை மணிமாறன்</t>
  </si>
  <si>
    <t>மணிகண்டன். M</t>
  </si>
  <si>
    <t>சிவசுப்ரமணியன்.செ</t>
  </si>
  <si>
    <t>ராம்கி</t>
  </si>
  <si>
    <t>கிஷோர் 👍</t>
  </si>
  <si>
    <t>வேலுமணி(லட்டு)</t>
  </si>
  <si>
    <t>விஜயகுமார்</t>
  </si>
  <si>
    <t>சுந்தர்குமார்</t>
  </si>
  <si>
    <t>செந்தில்குமார்</t>
  </si>
  <si>
    <t>L.சுரேஷ்பாபு</t>
  </si>
  <si>
    <t>செல்லப்பெருமாள்</t>
  </si>
  <si>
    <t>பிரபாகரண்</t>
  </si>
  <si>
    <t>பாஸ்கர்</t>
  </si>
  <si>
    <t>Sri sakthi</t>
  </si>
  <si>
    <t>ரத்திஸ்</t>
  </si>
  <si>
    <t>சீனிவாசன்</t>
  </si>
  <si>
    <t>கண்ணன்</t>
  </si>
  <si>
    <t>ரமேஷ்</t>
  </si>
  <si>
    <t>முரளி மாமா</t>
  </si>
  <si>
    <t>பூவரசன்</t>
  </si>
  <si>
    <t>சூரியா</t>
  </si>
  <si>
    <t>பரணிஸ்</t>
  </si>
  <si>
    <t>சாரதி</t>
  </si>
  <si>
    <t>திவித்</t>
  </si>
  <si>
    <t>விக்கி</t>
  </si>
  <si>
    <t>சேதுபதி</t>
  </si>
  <si>
    <t>தரனிஷ்</t>
  </si>
  <si>
    <t>hathan06@gmail.com</t>
  </si>
  <si>
    <t>Guru@1234</t>
  </si>
  <si>
    <t>mugil</t>
  </si>
  <si>
    <t>guhannawspersonal06@gmail.com</t>
  </si>
  <si>
    <t>Panda@2403k</t>
  </si>
  <si>
    <t>Jaga@1995</t>
  </si>
  <si>
    <t>Mani@1997</t>
  </si>
  <si>
    <t>Aboutme@1</t>
  </si>
  <si>
    <t>Referer</t>
  </si>
  <si>
    <t>Route</t>
  </si>
  <si>
    <t>Matched First Name</t>
  </si>
  <si>
    <t>Matched Last Name</t>
  </si>
  <si>
    <t>Username</t>
  </si>
  <si>
    <t>Pilgrim ID</t>
  </si>
  <si>
    <t>Mobile Number</t>
  </si>
  <si>
    <t>ID Proof Type</t>
  </si>
  <si>
    <t>ID Proof Name</t>
  </si>
  <si>
    <t>ID Proof Number</t>
  </si>
  <si>
    <t>Confidence %</t>
  </si>
  <si>
    <t>Alternative Match 1</t>
  </si>
  <si>
    <t>Alternative Match 2</t>
  </si>
  <si>
    <t>Alternative Match 3</t>
  </si>
  <si>
    <t>booking_status</t>
  </si>
  <si>
    <t>Guhan</t>
  </si>
  <si>
    <t>Siruvali</t>
  </si>
  <si>
    <t>J. Stalin</t>
  </si>
  <si>
    <t>STALIN</t>
  </si>
  <si>
    <t>JAGADEESHAN</t>
  </si>
  <si>
    <t>AADHAAR CARD</t>
  </si>
  <si>
    <t>STALIN JAGADISAN (85%) - 8114008</t>
  </si>
  <si>
    <t>YAALIZAI STALIN (76%) - 12551230</t>
  </si>
  <si>
    <t>YAALIZAI STALIN (76%) - 8100520</t>
  </si>
  <si>
    <t>Ready</t>
  </si>
  <si>
    <t>Peruvali</t>
  </si>
  <si>
    <t>Gugan</t>
  </si>
  <si>
    <t>GUHAN</t>
  </si>
  <si>
    <t>S</t>
  </si>
  <si>
    <t>GUHAN S (91%) - 12646898</t>
  </si>
  <si>
    <t>GUNACHANDRAN ANBU (50%) - 17249551</t>
  </si>
  <si>
    <t>Mughilan</t>
  </si>
  <si>
    <t>MUGILAN</t>
  </si>
  <si>
    <t>SHANMUGASUNDARAM</t>
  </si>
  <si>
    <t>MUGILAN SHANMUGASUNDARAM (88%) - 9535381266</t>
  </si>
  <si>
    <t>MUGILAN SHANMUGASUNDARAM (88%) - 18417824</t>
  </si>
  <si>
    <t>MUGILAN STEST (88%) - 12755588</t>
  </si>
  <si>
    <t>Karthikeyan</t>
  </si>
  <si>
    <t>KARTHIKEYAN</t>
  </si>
  <si>
    <t>RAJA</t>
  </si>
  <si>
    <t>KARTHICK KANDASAMY (73%) - 7358431</t>
  </si>
  <si>
    <t>Anbu</t>
  </si>
  <si>
    <t>ANBAZAGAN</t>
  </si>
  <si>
    <t>E</t>
  </si>
  <si>
    <t>ANBAZAGAN E (50%) - 7930199</t>
  </si>
  <si>
    <t>Navin Srinivasan</t>
  </si>
  <si>
    <t>NAVEEN KUMAR</t>
  </si>
  <si>
    <t>SRINIVASAN</t>
  </si>
  <si>
    <t>NAVEENKUMAR S (72%) - 6286660</t>
  </si>
  <si>
    <t>NAVEENKUMAR S (72%) - 12564831</t>
  </si>
  <si>
    <t>Mani Kumar</t>
  </si>
  <si>
    <t>MANI</t>
  </si>
  <si>
    <t>KUMAR</t>
  </si>
  <si>
    <t>MANI KUMAR (100%) - 18417472</t>
  </si>
  <si>
    <t>MANI KUMAR (100%) - 21098007</t>
  </si>
  <si>
    <t>MANI KUMAR (100%) - 7566792</t>
  </si>
  <si>
    <t>Mohanraja</t>
  </si>
  <si>
    <t>MOHANRAJ</t>
  </si>
  <si>
    <t>R</t>
  </si>
  <si>
    <t>MOHANRAJ RAMASAMY (90%) - 20437207</t>
  </si>
  <si>
    <t>MOHANRAJ RAMASAMY (90%) - 18486683</t>
  </si>
  <si>
    <t>VENKATESHWARAN MOHANRAJ (73%) - 16062348</t>
  </si>
  <si>
    <t>Not Ready</t>
  </si>
  <si>
    <t>Jeeva</t>
  </si>
  <si>
    <t>JEEVA</t>
  </si>
  <si>
    <t>ARUMUGAM</t>
  </si>
  <si>
    <t>VOTER ID</t>
  </si>
  <si>
    <t>HWQ2014231</t>
  </si>
  <si>
    <t>Sai Charan</t>
  </si>
  <si>
    <t>NA</t>
  </si>
  <si>
    <t xml:space="preserve">NA </t>
  </si>
  <si>
    <t>No Match Found</t>
  </si>
  <si>
    <t>Jagadeesh</t>
  </si>
  <si>
    <t>JAGADHISWARAN</t>
  </si>
  <si>
    <t>JAGATHESWAARAN KUMAR (73%) - 18476278</t>
  </si>
  <si>
    <t>Tiruchi Saran</t>
  </si>
  <si>
    <t>SARANRAJ</t>
  </si>
  <si>
    <t>SENTHIL</t>
  </si>
  <si>
    <t>ILU2181089</t>
  </si>
  <si>
    <t>SARANRAJ KAVITHA (58%) - 18474321</t>
  </si>
  <si>
    <t>SARANRAJ GAJENDIRAN (58%) - 8103429</t>
  </si>
  <si>
    <t>SARANKUMAR A N (58%) - 18980967</t>
  </si>
  <si>
    <t>Sanjitha Sri</t>
  </si>
  <si>
    <t>SANJITHASRI</t>
  </si>
  <si>
    <t>JAGADESHWARAN</t>
  </si>
  <si>
    <t>SANJITHASRI JAGADEESHAN (83%) - 17248868</t>
  </si>
  <si>
    <t>Accust</t>
  </si>
  <si>
    <t>Guna</t>
  </si>
  <si>
    <t>GUNACHANDRAN</t>
  </si>
  <si>
    <t>ANBU</t>
  </si>
  <si>
    <t>Haribalan</t>
  </si>
  <si>
    <t>HARIBALAN</t>
  </si>
  <si>
    <t>M</t>
  </si>
  <si>
    <t>Siddharth</t>
  </si>
  <si>
    <t>SIDDHARTH</t>
  </si>
  <si>
    <t>H S</t>
  </si>
  <si>
    <t>Dinesh</t>
  </si>
  <si>
    <t>Maadhu</t>
  </si>
  <si>
    <t>MATHU</t>
  </si>
  <si>
    <t>MADHURAMBIGAI RAMKI (67%) - 17255960</t>
  </si>
  <si>
    <t>MADHURAMBIGAI RAMKI (67%) - 17249953</t>
  </si>
  <si>
    <t>MANIKANDAN MATHU (67%) - 7326041</t>
  </si>
  <si>
    <t>Murali</t>
  </si>
  <si>
    <t>MURALISANKAR</t>
  </si>
  <si>
    <t>THIRUGNANAM</t>
  </si>
  <si>
    <t>MURUGAN K (67%) - 2595948</t>
  </si>
  <si>
    <t>MURUGAN ARUNKUMAR (67%) - 12941692</t>
  </si>
  <si>
    <t>MURALIDHARAN G (67%) - 12605322</t>
  </si>
  <si>
    <t>DHINESH KUMAR</t>
  </si>
  <si>
    <t>GANESAN</t>
  </si>
  <si>
    <t>DHINESH KUMAR G (71%) - 12618864</t>
  </si>
  <si>
    <t>Aravindan</t>
  </si>
  <si>
    <t>ARAVINTH</t>
  </si>
  <si>
    <t>CHINNASAMY</t>
  </si>
  <si>
    <t>NIW1946649</t>
  </si>
  <si>
    <t>Ajith</t>
  </si>
  <si>
    <t>Ajith Kumar</t>
  </si>
  <si>
    <t>AKASH</t>
  </si>
  <si>
    <t>CHANDRASEKARAN</t>
  </si>
  <si>
    <t>ARJUNAN (50%) - 7569430</t>
  </si>
  <si>
    <t>Dineshkumar</t>
  </si>
  <si>
    <t>DHINESH KUMAR G (82%) - 12618864</t>
  </si>
  <si>
    <t>Ramanan</t>
  </si>
  <si>
    <t>J. Ramanan</t>
  </si>
  <si>
    <t>RAMANAN</t>
  </si>
  <si>
    <t>JAYARAMAN</t>
  </si>
  <si>
    <t>RAMANAN JAYARAMAN (88%) - 17426935</t>
  </si>
  <si>
    <t>Lalgudi M. Lokesh</t>
  </si>
  <si>
    <t>MUKESH</t>
  </si>
  <si>
    <t>Udaya</t>
  </si>
  <si>
    <t>UDHAYKUMAR</t>
  </si>
  <si>
    <t>MAHENDIRAN</t>
  </si>
  <si>
    <t>Mahendran</t>
  </si>
  <si>
    <t>SEKAR</t>
  </si>
  <si>
    <t>UDHAYKUMAR MAHENDIRAN (78%) - 7355729</t>
  </si>
  <si>
    <t>NAREN PRASATH MAHENDIRAN (78%) - 8245897</t>
  </si>
  <si>
    <t>Naren Prasad</t>
  </si>
  <si>
    <t>NAREN PRASATH</t>
  </si>
  <si>
    <t>Haasini</t>
  </si>
  <si>
    <t>HASINI</t>
  </si>
  <si>
    <t>MAHENDRAN</t>
  </si>
  <si>
    <t>Jandi Mani</t>
  </si>
  <si>
    <t>NIW0262014</t>
  </si>
  <si>
    <t>MANI RAMASAMY (67%) - 18417216</t>
  </si>
  <si>
    <t>MANI S (67%) - 19246876</t>
  </si>
  <si>
    <t>MANI KUMAR (67%) - 16668428</t>
  </si>
  <si>
    <t>MARAN</t>
  </si>
  <si>
    <t>MARAN MANI (83%) - 18669517</t>
  </si>
  <si>
    <t>Murugan</t>
  </si>
  <si>
    <t>MURUGAN</t>
  </si>
  <si>
    <t>K</t>
  </si>
  <si>
    <t>MXT1220839</t>
  </si>
  <si>
    <t>MURUGAN ARUNKUMAR (88%) - 12941692</t>
  </si>
  <si>
    <t>?</t>
  </si>
  <si>
    <t>VIJAYAKUMAR</t>
  </si>
  <si>
    <t>VIJAYAKUMAR GAJENDIRAN (67%) - 8114864</t>
  </si>
  <si>
    <t>VIJIYAKUMAR KAJENDRAN (67%) - 19196627</t>
  </si>
  <si>
    <t>MANIMARAN</t>
  </si>
  <si>
    <t>Tea Shop Manimaran</t>
  </si>
  <si>
    <t>P</t>
  </si>
  <si>
    <t>MANIYARASAN V (65%) - 18981762</t>
  </si>
  <si>
    <t>Otta Mani</t>
  </si>
  <si>
    <t>Manikandan M.</t>
  </si>
  <si>
    <t>MANIKANDAN</t>
  </si>
  <si>
    <t>MANIKANDAN KUMAR (91%) - 7371744</t>
  </si>
  <si>
    <t>MANIKANDAN VEL (82%) - 18476430</t>
  </si>
  <si>
    <t>MANIKANDAN PALANISAMY (82%) - 7568844</t>
  </si>
  <si>
    <t>Sivasubramanian. S</t>
  </si>
  <si>
    <t>SIVASUBRAMANIAN</t>
  </si>
  <si>
    <t>SELLAPERUMAL</t>
  </si>
  <si>
    <t>Ramki</t>
  </si>
  <si>
    <t>RAMKI</t>
  </si>
  <si>
    <t>MADHURAMBIGAI RAMKI (50%) - 17255960</t>
  </si>
  <si>
    <t>MADHURAMBIGAI RAMKI (50%) - 17249953</t>
  </si>
  <si>
    <t>Kishore</t>
  </si>
  <si>
    <t>KISHORE</t>
  </si>
  <si>
    <t>RAMKISEKAR</t>
  </si>
  <si>
    <t>Velumani (Laddu)</t>
  </si>
  <si>
    <t>VELMANI</t>
  </si>
  <si>
    <t>NIW2258952</t>
  </si>
  <si>
    <t>VELMANI SEKAR (78%) - 17334631</t>
  </si>
  <si>
    <t>Vijayakumar</t>
  </si>
  <si>
    <t>VIJAYAKUMAR GAJENDIRAN (91%) - 8114864</t>
  </si>
  <si>
    <t>VIJIYAKUMAR KAJENDRAN (91%) - 19196627</t>
  </si>
  <si>
    <t>Sundarkumar</t>
  </si>
  <si>
    <t>SUNDERKUMAR</t>
  </si>
  <si>
    <t>CHETTIAR</t>
  </si>
  <si>
    <t>SUNDERKUMAR CHETTIAR (91%) - 18479843</t>
  </si>
  <si>
    <t>SUNDERKUMAR CHETTIAR (91%) - 12542753</t>
  </si>
  <si>
    <t>Senthilkumar</t>
  </si>
  <si>
    <t>SENDILKUMAR</t>
  </si>
  <si>
    <t>SENDILKUMAR CHETTIAR (85%) - 18480088</t>
  </si>
  <si>
    <t>SRISAKTHI SENTHILKUMAR (73%) - 17255624</t>
  </si>
  <si>
    <t>SRISAKTHI SENTHILKUMAR (73%) - 18474802</t>
  </si>
  <si>
    <t>Anna</t>
  </si>
  <si>
    <t>L. Suresh Babu</t>
  </si>
  <si>
    <t>Chellaperumal</t>
  </si>
  <si>
    <t>LAKSHMINARAYANAN</t>
  </si>
  <si>
    <t>SIVASUBRAMANIAN SELLAPERUMAL (73%) - 8245305</t>
  </si>
  <si>
    <t>PRABHAKARAN SELLAPERUMAL (73%) - 17258374</t>
  </si>
  <si>
    <t>Prabhakaran</t>
  </si>
  <si>
    <t>PRABHAKARAN</t>
  </si>
  <si>
    <t>PRABHU RAMKUMAR (73%) - 16668364</t>
  </si>
  <si>
    <t>PRABHU DEVA GOVINDASAMY (73%) - 7355565</t>
  </si>
  <si>
    <t>PRABU N (73%) - 12602643</t>
  </si>
  <si>
    <t>Bhaskar</t>
  </si>
  <si>
    <t>Sri Sakthi</t>
  </si>
  <si>
    <t>SRISAKTHI</t>
  </si>
  <si>
    <t>SENTHILKUMAR</t>
  </si>
  <si>
    <t>SRISAKTHI SENTHILKUMAR (80%) - 18474802</t>
  </si>
  <si>
    <t>SRISAKTHI SENTHILKUMAR (80%) - 17249248</t>
  </si>
  <si>
    <t>Rathis</t>
  </si>
  <si>
    <t>RATHEESH</t>
  </si>
  <si>
    <t>RATHEESH M (86%) - 12762123</t>
  </si>
  <si>
    <t>RATHISH M (86%) - 10215841</t>
  </si>
  <si>
    <t>Sethu</t>
  </si>
  <si>
    <t>Srinivasan</t>
  </si>
  <si>
    <t>RAJAVADIVELU</t>
  </si>
  <si>
    <t>SRINIVASAN RAJAVADIVELU (100%) - 17256860</t>
  </si>
  <si>
    <t>Kannnan</t>
  </si>
  <si>
    <t>KANNAN</t>
  </si>
  <si>
    <t>RATHINASAMY</t>
  </si>
  <si>
    <t>KANNAN RATHINASAMY (86%) - 20436140</t>
  </si>
  <si>
    <t>MUTHU KANNAN (71%) - 12551499</t>
  </si>
  <si>
    <t>Ramesh</t>
  </si>
  <si>
    <t>RAMANAN JAYARAMAN (57%) - 18773320</t>
  </si>
  <si>
    <t>POOVARASAN VELMURUGAN (50%) - 7591285</t>
  </si>
  <si>
    <t>Murali Uncle</t>
  </si>
  <si>
    <t>MURALIDHARAN G (58%) - 12605322</t>
  </si>
  <si>
    <t>Suriya</t>
  </si>
  <si>
    <t>Poovarasam</t>
  </si>
  <si>
    <t>POOVARASAN</t>
  </si>
  <si>
    <t>VELMURUGAN</t>
  </si>
  <si>
    <t>Baranis</t>
  </si>
  <si>
    <t>Sarathi</t>
  </si>
  <si>
    <t>Thivith</t>
  </si>
  <si>
    <t>Vikky</t>
  </si>
  <si>
    <t>Sethupathi</t>
  </si>
  <si>
    <t>SEDHUPATHI</t>
  </si>
  <si>
    <t>SEDHUPATHI R (90%) - 12621319</t>
  </si>
  <si>
    <t>SEDHUPATHI R (90%) - 12647062</t>
  </si>
  <si>
    <t>Tharanish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</si>
</sst>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Verdana"/>
    </font>
    <font>
      <color theme="1"/>
      <name val="Verdana"/>
    </font>
    <font>
      <sz val="11.0"/>
      <color rgb="FF000000"/>
      <name val="Calibri"/>
    </font>
    <font>
      <sz val="11.0"/>
      <color theme="7"/>
      <name val="Calibri"/>
    </font>
    <font>
      <color theme="7"/>
      <name val="Arial"/>
      <scheme val="minor"/>
    </font>
    <font>
      <color rgb="FFFF0000"/>
      <name val="Arial"/>
      <scheme val="minor"/>
    </font>
    <font>
      <sz val="11.0"/>
      <color rgb="FFFF0000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Font="1"/>
    <xf borderId="0" fillId="2" fontId="3" numFmtId="0" xfId="0" applyAlignment="1" applyFill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2" numFmtId="0" xfId="0" applyFont="1"/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88"/>
  </cols>
  <sheetData>
    <row r="1">
      <c r="A1" s="1" t="s">
        <v>0</v>
      </c>
      <c r="B1" s="2" t="s">
        <v>1</v>
      </c>
    </row>
    <row r="2">
      <c r="A2" s="3" t="s">
        <v>2</v>
      </c>
      <c r="B2" s="4" t="str">
        <f>IFERROR(__xludf.DUMMYFUNCTION("AI(""google translate english"")"),"J. Stalin")</f>
        <v>J. Stalin</v>
      </c>
    </row>
    <row r="3">
      <c r="A3" s="3" t="s">
        <v>3</v>
      </c>
      <c r="B3" s="4" t="str">
        <f>IFERROR(__xludf.DUMMYFUNCTION("AI(""google translate english"")"),"Gugan")</f>
        <v>Gugan</v>
      </c>
    </row>
    <row r="4">
      <c r="A4" s="3" t="s">
        <v>4</v>
      </c>
      <c r="B4" s="4" t="str">
        <f>IFERROR(__xludf.DUMMYFUNCTION("AI(""google translate english"")"),"Mughilan")</f>
        <v>Mughilan</v>
      </c>
    </row>
    <row r="5">
      <c r="A5" s="3" t="s">
        <v>5</v>
      </c>
      <c r="B5" s="4" t="str">
        <f>IFERROR(__xludf.DUMMYFUNCTION("AI(""google translate english"")"),"Karthikeyan")</f>
        <v>Karthikeyan</v>
      </c>
    </row>
    <row r="6">
      <c r="A6" s="3" t="s">
        <v>6</v>
      </c>
      <c r="B6" s="4" t="str">
        <f>IFERROR(__xludf.DUMMYFUNCTION("AI(""google translate english"")"),"Anbu")</f>
        <v>Anbu</v>
      </c>
    </row>
    <row r="7">
      <c r="A7" s="3" t="s">
        <v>7</v>
      </c>
      <c r="B7" s="4" t="str">
        <f>IFERROR(__xludf.DUMMYFUNCTION("AI(""google translate english"")"),"Navin Srinivasan")</f>
        <v>Navin Srinivasan</v>
      </c>
      <c r="C7" s="2" t="s">
        <v>8</v>
      </c>
    </row>
    <row r="8">
      <c r="A8" s="3" t="s">
        <v>9</v>
      </c>
      <c r="B8" s="4" t="str">
        <f>IFERROR(__xludf.DUMMYFUNCTION("AI(""google translate english"")"),"Mani Kumar")</f>
        <v>Mani Kumar</v>
      </c>
      <c r="C8" s="2" t="s">
        <v>8</v>
      </c>
    </row>
    <row r="9">
      <c r="A9" s="3" t="s">
        <v>10</v>
      </c>
      <c r="B9" s="4" t="str">
        <f>IFERROR(__xludf.DUMMYFUNCTION("AI(""google translate english"")"),"Mohanraja")</f>
        <v>Mohanraja</v>
      </c>
      <c r="C9" s="2" t="s">
        <v>11</v>
      </c>
    </row>
    <row r="10">
      <c r="A10" s="3" t="s">
        <v>12</v>
      </c>
      <c r="B10" s="4" t="str">
        <f>IFERROR(__xludf.DUMMYFUNCTION("AI(""google translate english"")"),"Jeeva")</f>
        <v>Jeeva</v>
      </c>
    </row>
    <row r="11">
      <c r="A11" s="3" t="s">
        <v>13</v>
      </c>
      <c r="B11" s="4" t="str">
        <f>IFERROR(__xludf.DUMMYFUNCTION("AI(""google translate english"")"),"Sai Charan")</f>
        <v>Sai Charan</v>
      </c>
    </row>
    <row r="12">
      <c r="A12" s="3" t="s">
        <v>14</v>
      </c>
      <c r="B12" s="4" t="str">
        <f>IFERROR(__xludf.DUMMYFUNCTION("AI(""google translate english"")"),"Jagadeesh")</f>
        <v>Jagadeesh</v>
      </c>
      <c r="C12" s="2" t="s">
        <v>8</v>
      </c>
    </row>
    <row r="13">
      <c r="A13" s="3" t="s">
        <v>15</v>
      </c>
      <c r="B13" s="4" t="str">
        <f>IFERROR(__xludf.DUMMYFUNCTION("AI(""google translate english"")"),"Tiruchi Saran")</f>
        <v>Tiruchi Saran</v>
      </c>
    </row>
    <row r="14">
      <c r="A14" s="3" t="s">
        <v>16</v>
      </c>
      <c r="B14" s="4" t="str">
        <f>IFERROR(__xludf.DUMMYFUNCTION("AI(""google translate english"")"),"Sanjitha Sri")</f>
        <v>Sanjitha Sri</v>
      </c>
      <c r="C14" s="2" t="s">
        <v>8</v>
      </c>
    </row>
    <row r="15">
      <c r="A15" s="3" t="s">
        <v>17</v>
      </c>
      <c r="B15" s="4" t="str">
        <f>IFERROR(__xludf.DUMMYFUNCTION("AI(""google translate english"")"),"Guna")</f>
        <v>Guna</v>
      </c>
      <c r="C15" s="2" t="s">
        <v>8</v>
      </c>
    </row>
    <row r="16">
      <c r="A16" s="3" t="s">
        <v>18</v>
      </c>
      <c r="B16" s="4" t="str">
        <f>IFERROR(__xludf.DUMMYFUNCTION("AI(""google translate english"")"),"Haribalan")</f>
        <v>Haribalan</v>
      </c>
    </row>
    <row r="17">
      <c r="A17" s="3" t="s">
        <v>19</v>
      </c>
      <c r="B17" s="4" t="str">
        <f>IFERROR(__xludf.DUMMYFUNCTION("AI(""google translate english"")"),"Siddharth")</f>
        <v>Siddharth</v>
      </c>
    </row>
    <row r="18">
      <c r="A18" s="3" t="s">
        <v>20</v>
      </c>
      <c r="B18" s="4" t="str">
        <f>IFERROR(__xludf.DUMMYFUNCTION("AI(""google translate english"")"),"Maadhu")</f>
        <v>Maadhu</v>
      </c>
      <c r="C18" s="2" t="s">
        <v>8</v>
      </c>
    </row>
    <row r="19">
      <c r="A19" s="3" t="s">
        <v>21</v>
      </c>
      <c r="B19" s="4" t="str">
        <f>IFERROR(__xludf.DUMMYFUNCTION("AI(""google translate english"")"),"Murali")</f>
        <v>Murali</v>
      </c>
      <c r="C19" s="2" t="s">
        <v>8</v>
      </c>
    </row>
    <row r="20">
      <c r="A20" s="3" t="s">
        <v>22</v>
      </c>
      <c r="B20" s="4" t="str">
        <f>IFERROR(__xludf.DUMMYFUNCTION("AI(""google translate english"")"),"Dinesh")</f>
        <v>Dinesh</v>
      </c>
      <c r="C20" s="2" t="s">
        <v>23</v>
      </c>
    </row>
    <row r="21">
      <c r="A21" s="3" t="s">
        <v>24</v>
      </c>
      <c r="B21" s="4" t="str">
        <f>IFERROR(__xludf.DUMMYFUNCTION("AI(""google translate english"")"),"Aravindan")</f>
        <v>Aravindan</v>
      </c>
    </row>
    <row r="22">
      <c r="A22" s="3" t="s">
        <v>25</v>
      </c>
      <c r="B22" s="4" t="str">
        <f>IFERROR(__xludf.DUMMYFUNCTION("AI(""google translate english"")"),"Ajith Kumar")</f>
        <v>Ajith Kumar</v>
      </c>
    </row>
    <row r="23">
      <c r="A23" s="3" t="s">
        <v>26</v>
      </c>
      <c r="B23" s="4" t="str">
        <f>IFERROR(__xludf.DUMMYFUNCTION("AI(""google translate english"")"),"Dineshkumar")</f>
        <v>Dineshkumar</v>
      </c>
    </row>
    <row r="24">
      <c r="A24" s="3" t="s">
        <v>27</v>
      </c>
      <c r="B24" s="4" t="str">
        <f>IFERROR(__xludf.DUMMYFUNCTION("AI(""google translate english"")"),"J. Ramanan")</f>
        <v>J. Ramanan</v>
      </c>
    </row>
    <row r="25">
      <c r="A25" s="3" t="s">
        <v>28</v>
      </c>
      <c r="B25" s="4" t="str">
        <f>IFERROR(__xludf.DUMMYFUNCTION("AI(""google translate english"")"),"Lalgudi M. Lokesh")</f>
        <v>Lalgudi M. Lokesh</v>
      </c>
    </row>
    <row r="26">
      <c r="A26" s="3" t="s">
        <v>29</v>
      </c>
      <c r="B26" s="4" t="str">
        <f>IFERROR(__xludf.DUMMYFUNCTION("AI(""google translate english"")"),"Udhayakumar")</f>
        <v>Udhayakumar</v>
      </c>
    </row>
    <row r="27">
      <c r="A27" s="3" t="s">
        <v>30</v>
      </c>
      <c r="B27" s="4" t="str">
        <f>IFERROR(__xludf.DUMMYFUNCTION("AI(""google translate english"")"),"Thilipkumar")</f>
        <v>Thilipkumar</v>
      </c>
    </row>
    <row r="28">
      <c r="A28" s="3" t="s">
        <v>31</v>
      </c>
      <c r="B28" s="4" t="str">
        <f>IFERROR(__xludf.DUMMYFUNCTION("AI(""google translate english"")"),"Mahendran")</f>
        <v>Mahendran</v>
      </c>
    </row>
    <row r="29">
      <c r="A29" s="3" t="s">
        <v>32</v>
      </c>
      <c r="B29" s="4" t="str">
        <f>IFERROR(__xludf.DUMMYFUNCTION("AI(""google translate english"")"),"Naren Prasad")</f>
        <v>Naren Prasad</v>
      </c>
    </row>
    <row r="30">
      <c r="A30" s="3" t="s">
        <v>33</v>
      </c>
      <c r="B30" s="4" t="str">
        <f>IFERROR(__xludf.DUMMYFUNCTION("AI(""google translate english"")"),"Haasini")</f>
        <v>Haasini</v>
      </c>
    </row>
    <row r="31">
      <c r="A31" s="3" t="s">
        <v>34</v>
      </c>
      <c r="B31" s="4" t="str">
        <f>IFERROR(__xludf.DUMMYFUNCTION("AI(""google translate english"")"),"Jandi Mani")</f>
        <v>Jandi Mani</v>
      </c>
    </row>
    <row r="32">
      <c r="A32" s="3" t="s">
        <v>35</v>
      </c>
      <c r="B32" s="4" t="str">
        <f>IFERROR(__xludf.DUMMYFUNCTION("AI(""google translate english"")"),"Maran")</f>
        <v>Maran</v>
      </c>
    </row>
    <row r="33">
      <c r="A33" s="3" t="s">
        <v>36</v>
      </c>
      <c r="B33" s="4" t="str">
        <f>IFERROR(__xludf.DUMMYFUNCTION("AI(""google translate english"")"),"Murugan")</f>
        <v>Murugan</v>
      </c>
    </row>
    <row r="34">
      <c r="A34" s="3" t="s">
        <v>37</v>
      </c>
      <c r="B34" s="4" t="str">
        <f>IFERROR(__xludf.DUMMYFUNCTION("AI(""google translate english"")"),"Vijay")</f>
        <v>Vijay</v>
      </c>
    </row>
    <row r="35">
      <c r="A35" s="3" t="s">
        <v>38</v>
      </c>
      <c r="B35" s="4" t="str">
        <f>IFERROR(__xludf.DUMMYFUNCTION("AI(""google translate english"")"),"Tea Shop Manimaran")</f>
        <v>Tea Shop Manimaran</v>
      </c>
    </row>
    <row r="36">
      <c r="A36" s="3" t="s">
        <v>39</v>
      </c>
      <c r="B36" s="4" t="str">
        <f>IFERROR(__xludf.DUMMYFUNCTION("AI(""google translate english"")"),"Manikandan M.")</f>
        <v>Manikandan M.</v>
      </c>
      <c r="C36" s="2" t="s">
        <v>8</v>
      </c>
    </row>
    <row r="37">
      <c r="A37" s="3" t="s">
        <v>40</v>
      </c>
      <c r="B37" s="4" t="str">
        <f>IFERROR(__xludf.DUMMYFUNCTION("AI(""google translate english"")"),"Sivasubramanian. S")</f>
        <v>Sivasubramanian. S</v>
      </c>
    </row>
    <row r="38">
      <c r="A38" s="3" t="s">
        <v>41</v>
      </c>
      <c r="B38" s="4" t="str">
        <f>IFERROR(__xludf.DUMMYFUNCTION("AI(""google translate english"")"),"Ramki")</f>
        <v>Ramki</v>
      </c>
      <c r="C38" s="2" t="s">
        <v>8</v>
      </c>
    </row>
    <row r="39">
      <c r="A39" s="3" t="s">
        <v>42</v>
      </c>
      <c r="B39" s="4" t="str">
        <f>IFERROR(__xludf.DUMMYFUNCTION("AI(""google translate english"")"),"Kishore 👍")</f>
        <v>Kishore 👍</v>
      </c>
    </row>
    <row r="40">
      <c r="A40" s="3" t="s">
        <v>43</v>
      </c>
      <c r="B40" s="4" t="str">
        <f>IFERROR(__xludf.DUMMYFUNCTION("AI(""google translate english"")"),"Velumani (Laddu)")</f>
        <v>Velumani (Laddu)</v>
      </c>
    </row>
    <row r="41">
      <c r="A41" s="3" t="s">
        <v>44</v>
      </c>
      <c r="B41" s="4" t="str">
        <f>IFERROR(__xludf.DUMMYFUNCTION("AI(""google translate english"")"),"Vijayakumar")</f>
        <v>Vijayakumar</v>
      </c>
    </row>
    <row r="42">
      <c r="A42" s="3" t="s">
        <v>45</v>
      </c>
      <c r="B42" s="4" t="str">
        <f>IFERROR(__xludf.DUMMYFUNCTION("AI(""google translate english"")"),"Sundarkumar")</f>
        <v>Sundarkumar</v>
      </c>
      <c r="C42" s="2" t="s">
        <v>11</v>
      </c>
    </row>
    <row r="43">
      <c r="A43" s="3" t="s">
        <v>46</v>
      </c>
      <c r="B43" s="4" t="str">
        <f>IFERROR(__xludf.DUMMYFUNCTION("AI(""google translate english"")"),"Senthilkumar")</f>
        <v>Senthilkumar</v>
      </c>
      <c r="C43" s="2" t="s">
        <v>11</v>
      </c>
    </row>
    <row r="44">
      <c r="A44" s="3" t="s">
        <v>47</v>
      </c>
      <c r="B44" s="4" t="str">
        <f>IFERROR(__xludf.DUMMYFUNCTION("AI(""google translate english"")"),"L. Suresh Babu")</f>
        <v>L. Suresh Babu</v>
      </c>
    </row>
    <row r="45">
      <c r="A45" s="3" t="s">
        <v>48</v>
      </c>
      <c r="B45" s="4" t="str">
        <f>IFERROR(__xludf.DUMMYFUNCTION("AI(""google translate english"")"),"Chellaperumal")</f>
        <v>Chellaperumal</v>
      </c>
    </row>
    <row r="46">
      <c r="A46" s="3" t="s">
        <v>49</v>
      </c>
      <c r="B46" s="4" t="str">
        <f>IFERROR(__xludf.DUMMYFUNCTION("AI(""google translate english"")"),"Prabhakaran")</f>
        <v>Prabhakaran</v>
      </c>
    </row>
    <row r="47">
      <c r="A47" s="3" t="s">
        <v>50</v>
      </c>
      <c r="B47" s="4" t="str">
        <f>IFERROR(__xludf.DUMMYFUNCTION("AI(""google translate english"")"),"Bhaskar")</f>
        <v>Bhaskar</v>
      </c>
    </row>
    <row r="48">
      <c r="A48" s="3" t="s">
        <v>51</v>
      </c>
      <c r="B48" s="4" t="str">
        <f>IFERROR(__xludf.DUMMYFUNCTION("AI(""google translate english"")"),"Sri Sakthi")</f>
        <v>Sri Sakthi</v>
      </c>
      <c r="C48" s="2" t="s">
        <v>8</v>
      </c>
    </row>
    <row r="49">
      <c r="A49" s="3" t="s">
        <v>52</v>
      </c>
      <c r="B49" s="4" t="str">
        <f>IFERROR(__xludf.DUMMYFUNCTION("AI(""google translate english"")"),"Rathis")</f>
        <v>Rathis</v>
      </c>
    </row>
    <row r="50">
      <c r="A50" s="3" t="s">
        <v>53</v>
      </c>
      <c r="B50" s="4" t="str">
        <f>IFERROR(__xludf.DUMMYFUNCTION("AI(""google translate english"")"),"Srinivasan")</f>
        <v>Srinivasan</v>
      </c>
    </row>
    <row r="51">
      <c r="A51" s="3" t="s">
        <v>54</v>
      </c>
      <c r="B51" s="4" t="str">
        <f>IFERROR(__xludf.DUMMYFUNCTION("AI(""google translate english"")"),"Kannnan")</f>
        <v>Kannnan</v>
      </c>
    </row>
    <row r="52">
      <c r="A52" s="3" t="s">
        <v>55</v>
      </c>
      <c r="B52" s="4" t="str">
        <f>IFERROR(__xludf.DUMMYFUNCTION("AI(""google translate english"")"),"Ramesh")</f>
        <v>Ramesh</v>
      </c>
    </row>
    <row r="53">
      <c r="A53" s="3" t="s">
        <v>56</v>
      </c>
      <c r="B53" s="4" t="str">
        <f>IFERROR(__xludf.DUMMYFUNCTION("AI(""google translate english"")"),"Murali Uncle")</f>
        <v>Murali Uncle</v>
      </c>
    </row>
    <row r="54">
      <c r="A54" s="3" t="s">
        <v>57</v>
      </c>
      <c r="B54" s="4" t="str">
        <f>IFERROR(__xludf.DUMMYFUNCTION("AI(""google translate english"")"),"Poovarasam")</f>
        <v>Poovarasam</v>
      </c>
    </row>
    <row r="55">
      <c r="A55" s="3" t="s">
        <v>58</v>
      </c>
      <c r="B55" s="4" t="str">
        <f>IFERROR(__xludf.DUMMYFUNCTION("AI(""google translate english"")"),"Suriya")</f>
        <v>Suriya</v>
      </c>
    </row>
    <row r="56">
      <c r="A56" s="3" t="s">
        <v>59</v>
      </c>
      <c r="B56" s="4" t="str">
        <f>IFERROR(__xludf.DUMMYFUNCTION("AI(""google translate english"")"),"Baranis")</f>
        <v>Baranis</v>
      </c>
    </row>
    <row r="57">
      <c r="A57" s="3" t="s">
        <v>60</v>
      </c>
      <c r="B57" s="4" t="str">
        <f>IFERROR(__xludf.DUMMYFUNCTION("AI(""google translate english"")"),"Sarathi")</f>
        <v>Sarathi</v>
      </c>
    </row>
    <row r="58">
      <c r="A58" s="3" t="s">
        <v>61</v>
      </c>
      <c r="B58" s="4" t="str">
        <f>IFERROR(__xludf.DUMMYFUNCTION("AI(""google translate english"")"),"Thivith")</f>
        <v>Thivith</v>
      </c>
    </row>
    <row r="59">
      <c r="A59" s="3" t="s">
        <v>62</v>
      </c>
      <c r="B59" s="4" t="str">
        <f>IFERROR(__xludf.DUMMYFUNCTION("AI(""google translate english"")"),"Vikky")</f>
        <v>Vikky</v>
      </c>
      <c r="C59" s="2" t="s">
        <v>11</v>
      </c>
    </row>
    <row r="60">
      <c r="A60" s="3" t="s">
        <v>63</v>
      </c>
      <c r="B60" s="4" t="str">
        <f>IFERROR(__xludf.DUMMYFUNCTION("AI(""google translate english"")"),"Sethupathi")</f>
        <v>Sethupathi</v>
      </c>
      <c r="C60" s="2" t="s">
        <v>11</v>
      </c>
    </row>
    <row r="61">
      <c r="A61" s="3" t="s">
        <v>64</v>
      </c>
      <c r="B61" s="4" t="str">
        <f>IFERROR(__xludf.DUMMYFUNCTION("AI(""google translate english"")"),"Tharanish")</f>
        <v>Tharanish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4.13"/>
  </cols>
  <sheetData>
    <row r="1">
      <c r="A1" s="5" t="s">
        <v>65</v>
      </c>
      <c r="B1" s="6" t="s">
        <v>66</v>
      </c>
      <c r="C1" s="7" t="s">
        <v>67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5">
        <v>6.366369301E9</v>
      </c>
      <c r="B2" s="6" t="s">
        <v>66</v>
      </c>
      <c r="C2" s="7" t="s">
        <v>67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68</v>
      </c>
      <c r="B3" s="6" t="s">
        <v>66</v>
      </c>
      <c r="C3" s="7" t="s">
        <v>67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>
        <v>9.810026891E9</v>
      </c>
      <c r="B4" s="6" t="s">
        <v>66</v>
      </c>
      <c r="C4" s="7" t="s">
        <v>67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>
        <v>9.980990391E9</v>
      </c>
      <c r="B5" s="6" t="s">
        <v>69</v>
      </c>
      <c r="C5" s="7" t="s">
        <v>11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>
        <v>9.159758704E9</v>
      </c>
      <c r="B6" s="6" t="s">
        <v>70</v>
      </c>
      <c r="C6" s="7" t="s"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>
        <v>9.865643639E9</v>
      </c>
      <c r="B7" s="6" t="s">
        <v>71</v>
      </c>
      <c r="C7" s="7" t="s">
        <v>11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>
        <v>9.535381266E9</v>
      </c>
      <c r="B8" s="6" t="s">
        <v>72</v>
      </c>
      <c r="C8" s="7" t="s">
        <v>11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9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/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B47" s="9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B48" s="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9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/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/>
      <c r="B57" s="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/>
      <c r="B58" s="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/>
      <c r="B59" s="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/>
      <c r="B63" s="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/>
      <c r="B66" s="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/>
      <c r="B70" s="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/>
      <c r="B71" s="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/>
      <c r="B73" s="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/>
      <c r="B77" s="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/>
      <c r="B78" s="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/>
      <c r="B79" s="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/>
      <c r="B82" s="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9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9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/>
      <c r="B85" s="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9"/>
      <c r="B86" s="9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/>
      <c r="B87" s="9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9"/>
      <c r="B88" s="9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"/>
      <c r="B89" s="9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/>
      <c r="B90" s="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9"/>
      <c r="B91" s="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/>
      <c r="B92" s="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/>
      <c r="B93" s="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"/>
      <c r="B94" s="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/>
      <c r="B95" s="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9"/>
      <c r="B96" s="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9"/>
      <c r="B97" s="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9"/>
      <c r="B98" s="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/>
      <c r="B99" s="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/>
      <c r="B100" s="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/>
      <c r="B101" s="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/>
      <c r="B102" s="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9"/>
      <c r="B103" s="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/>
      <c r="B104" s="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9"/>
      <c r="B105" s="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9"/>
      <c r="B106" s="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9"/>
      <c r="B107" s="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/>
      <c r="B108" s="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9"/>
      <c r="B109" s="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"/>
      <c r="B110" s="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/>
      <c r="B111" s="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"/>
      <c r="B112" s="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"/>
      <c r="B113" s="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"/>
      <c r="B114" s="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/>
      <c r="B115" s="9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/>
      <c r="B116" s="9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9"/>
      <c r="B117" s="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9"/>
      <c r="B118" s="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9"/>
      <c r="B119" s="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"/>
      <c r="B120" s="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"/>
      <c r="B121" s="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9"/>
      <c r="B122" s="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9"/>
      <c r="B123" s="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9"/>
      <c r="B124" s="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9"/>
      <c r="B125" s="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9"/>
      <c r="B126" s="9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9"/>
      <c r="B127" s="9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9"/>
      <c r="B128" s="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9"/>
      <c r="B129" s="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9"/>
      <c r="B130" s="9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9"/>
      <c r="B131" s="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9"/>
      <c r="B132" s="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9"/>
      <c r="B133" s="9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9"/>
      <c r="B134" s="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9"/>
      <c r="B135" s="9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9"/>
      <c r="B136" s="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9"/>
      <c r="B137" s="9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9"/>
      <c r="B138" s="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9"/>
      <c r="B139" s="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9"/>
      <c r="B140" s="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9"/>
      <c r="B141" s="9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9"/>
      <c r="B142" s="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9"/>
      <c r="B143" s="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9"/>
      <c r="B144" s="9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9"/>
      <c r="B145" s="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9"/>
      <c r="B146" s="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9"/>
      <c r="B147" s="9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9"/>
      <c r="B148" s="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9"/>
      <c r="B149" s="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9"/>
      <c r="B150" s="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9"/>
      <c r="B151" s="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9"/>
      <c r="B152" s="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9"/>
      <c r="B153" s="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9"/>
      <c r="B154" s="9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9"/>
      <c r="B155" s="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9"/>
      <c r="B156" s="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9"/>
      <c r="B157" s="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9"/>
      <c r="B158" s="9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9"/>
      <c r="B159" s="9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9"/>
      <c r="B160" s="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9"/>
      <c r="B161" s="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9"/>
      <c r="B162" s="9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9"/>
      <c r="B163" s="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9"/>
      <c r="B164" s="9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9"/>
      <c r="B165" s="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9"/>
      <c r="B166" s="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9"/>
      <c r="B167" s="9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9"/>
      <c r="B168" s="9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9"/>
      <c r="B169" s="9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9"/>
      <c r="B170" s="9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9"/>
      <c r="B171" s="9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9"/>
      <c r="B172" s="9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9"/>
      <c r="B173" s="9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9"/>
      <c r="B174" s="9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9"/>
      <c r="B175" s="9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9"/>
      <c r="B176" s="9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9"/>
      <c r="B177" s="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9"/>
      <c r="B178" s="9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9"/>
      <c r="B179" s="9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9"/>
      <c r="B180" s="9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9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9"/>
      <c r="B182" s="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9"/>
      <c r="B183" s="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9"/>
      <c r="B184" s="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9"/>
      <c r="B185" s="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9"/>
      <c r="B186" s="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9"/>
      <c r="B187" s="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9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9"/>
      <c r="B189" s="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9"/>
      <c r="B190" s="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9"/>
      <c r="B191" s="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9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9"/>
      <c r="B193" s="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9"/>
      <c r="B194" s="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9"/>
      <c r="B195" s="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9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9"/>
      <c r="B197" s="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9"/>
      <c r="B198" s="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9"/>
      <c r="B199" s="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9"/>
      <c r="B200" s="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9"/>
      <c r="B201" s="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9"/>
      <c r="B202" s="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9"/>
      <c r="B203" s="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9"/>
      <c r="B204" s="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9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9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9"/>
      <c r="B207" s="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9"/>
      <c r="B208" s="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9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9"/>
      <c r="B210" s="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9"/>
      <c r="B211" s="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9"/>
      <c r="B212" s="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9"/>
      <c r="B213" s="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9"/>
      <c r="B214" s="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9"/>
      <c r="B215" s="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9"/>
      <c r="B216" s="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9"/>
      <c r="B217" s="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9"/>
      <c r="B218" s="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9"/>
      <c r="B219" s="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9"/>
      <c r="B220" s="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9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9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9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9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9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9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9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9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9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9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9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9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9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9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9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9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9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9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9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9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9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9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9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9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9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9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9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9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9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9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9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9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9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9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9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9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9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9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9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9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9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9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9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9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9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9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9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9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9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9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9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9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9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9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9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9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9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9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9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9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9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9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9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9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9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9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9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9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9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9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9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9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9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9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9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9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9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9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9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9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9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9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9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9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9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9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9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9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9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9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9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9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9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9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9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9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9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9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9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9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9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9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9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9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9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9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9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9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9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9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9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9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9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9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9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9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9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9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9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9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9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9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9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9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9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9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9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9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9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9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9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9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9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9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9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9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9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9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9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9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9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9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9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9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9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9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9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9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9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9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9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9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9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9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9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9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9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9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9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9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9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9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9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9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9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9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9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9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9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9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9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9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9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9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9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9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9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9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9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9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9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9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9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9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9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9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9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9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9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9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9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9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9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9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9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9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9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9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9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9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9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9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9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9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9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9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9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9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9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9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9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9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9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9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9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9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9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9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9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9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9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9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9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9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9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9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9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9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9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9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9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9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9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9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9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9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9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9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9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9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9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9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9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9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9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9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9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9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9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9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9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9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9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9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9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9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9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9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9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9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9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9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9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9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9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9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9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9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9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9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9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9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9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9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9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9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9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9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9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9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9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9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9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9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9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9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9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9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9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9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9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9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9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9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9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9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9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9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9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9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9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9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9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9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9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9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9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9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9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9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9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9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9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9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9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9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9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9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9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9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9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9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9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9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9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9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9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9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9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9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9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9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9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9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9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9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9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9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9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9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9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9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9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9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9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9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9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9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9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9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9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9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9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9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9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9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9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9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9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9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9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9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9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9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9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9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9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9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9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9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9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9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9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9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9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9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9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9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9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9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9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9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9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9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9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9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9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9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9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9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9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9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9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9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9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9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9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9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9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9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9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9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9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9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9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9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9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9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9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9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9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9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9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9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9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9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9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9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9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9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9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9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9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9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9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9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9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9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9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9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9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9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9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9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9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9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9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9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9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9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9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9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9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9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9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9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9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9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9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9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9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9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9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9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9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9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9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9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9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9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9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9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9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9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9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9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9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9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9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9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9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9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9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9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9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9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9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9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9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9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9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9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9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9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9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9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9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9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9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9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9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9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9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9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9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9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9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9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9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9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9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9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9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9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9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9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9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9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9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9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9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9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9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9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9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9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9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9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9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9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9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9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9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9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9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9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9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9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9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9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9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9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9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9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9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9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9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9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9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9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9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9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9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9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9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9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9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9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9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9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9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9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9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9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9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9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9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9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9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9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9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9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9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9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9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9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9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9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9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9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9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9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9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9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9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9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9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9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9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9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9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9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9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9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9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9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9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9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9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9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9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9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9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9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9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9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9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9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9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9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9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9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9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9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9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9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9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9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9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9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9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9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9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9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9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9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9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9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9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9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9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9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9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9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9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9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9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9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9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9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9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9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9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9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9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9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9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9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9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9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9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9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9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9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9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9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9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9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9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9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9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9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9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9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9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9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9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9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9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9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9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9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9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9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9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9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9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9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9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9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9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9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9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9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9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9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9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9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9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9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9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9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9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9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9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9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9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9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9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9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9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9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9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9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9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9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9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9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9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9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9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9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9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9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9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9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9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9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9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9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9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9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9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9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9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9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9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9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9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9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9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9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9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9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9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9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9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9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9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9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9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9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9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9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9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9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9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9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9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9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9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9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9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9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9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9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9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9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9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9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9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9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9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9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9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9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9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9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9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9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9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9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9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9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9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9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9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9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9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9"/>
      <c r="B990" s="9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9"/>
      <c r="B991" s="9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9"/>
      <c r="B992" s="9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  <col customWidth="1" min="4" max="4" width="25.0"/>
    <col customWidth="1" min="6" max="6" width="30.63"/>
    <col customWidth="1" min="11" max="11" width="64.0"/>
    <col customWidth="1" min="12" max="12" width="43.5"/>
    <col customWidth="1" min="13" max="13" width="39.25"/>
  </cols>
  <sheetData>
    <row r="1">
      <c r="A1" s="10" t="s">
        <v>73</v>
      </c>
      <c r="B1" s="10" t="s">
        <v>74</v>
      </c>
      <c r="C1" s="10" t="s">
        <v>1</v>
      </c>
      <c r="D1" s="10" t="s">
        <v>75</v>
      </c>
      <c r="E1" s="10" t="s">
        <v>76</v>
      </c>
      <c r="F1" s="10" t="s">
        <v>77</v>
      </c>
      <c r="G1" s="10" t="s">
        <v>78</v>
      </c>
      <c r="H1" s="10" t="s">
        <v>79</v>
      </c>
      <c r="I1" s="10" t="s">
        <v>80</v>
      </c>
      <c r="J1" s="10" t="s">
        <v>81</v>
      </c>
      <c r="K1" s="10" t="s">
        <v>82</v>
      </c>
      <c r="L1" s="10" t="s">
        <v>83</v>
      </c>
      <c r="M1" s="10" t="s">
        <v>84</v>
      </c>
      <c r="N1" s="10" t="s">
        <v>85</v>
      </c>
      <c r="O1" s="10" t="s">
        <v>86</v>
      </c>
      <c r="Q1" s="2" t="s">
        <v>87</v>
      </c>
    </row>
    <row r="2">
      <c r="A2" s="10" t="s">
        <v>88</v>
      </c>
      <c r="B2" s="2" t="s">
        <v>89</v>
      </c>
      <c r="C2" s="10" t="s">
        <v>90</v>
      </c>
      <c r="D2" s="10" t="s">
        <v>91</v>
      </c>
      <c r="E2" s="10" t="s">
        <v>92</v>
      </c>
      <c r="F2" s="10" t="s">
        <v>65</v>
      </c>
      <c r="G2" s="11">
        <v>1.2551295E7</v>
      </c>
      <c r="H2" s="11">
        <v>9.843356007E9</v>
      </c>
      <c r="I2" s="11">
        <v>10003.0</v>
      </c>
      <c r="J2" s="10" t="s">
        <v>93</v>
      </c>
      <c r="K2" s="10">
        <v>7.67927061348E11</v>
      </c>
      <c r="L2" s="11">
        <v>85.0</v>
      </c>
      <c r="M2" s="10" t="s">
        <v>94</v>
      </c>
      <c r="N2" s="10" t="s">
        <v>95</v>
      </c>
      <c r="O2" s="10" t="s">
        <v>96</v>
      </c>
      <c r="Q2" s="2" t="s">
        <v>97</v>
      </c>
    </row>
    <row r="3">
      <c r="A3" s="10" t="s">
        <v>88</v>
      </c>
      <c r="B3" s="2" t="s">
        <v>98</v>
      </c>
      <c r="C3" s="10" t="s">
        <v>99</v>
      </c>
      <c r="D3" s="10" t="s">
        <v>100</v>
      </c>
      <c r="E3" s="10" t="s">
        <v>101</v>
      </c>
      <c r="F3" s="10" t="s">
        <v>65</v>
      </c>
      <c r="G3" s="11">
        <v>1703777.0</v>
      </c>
      <c r="H3" s="11">
        <v>8.095568255E9</v>
      </c>
      <c r="I3" s="11">
        <v>10003.0</v>
      </c>
      <c r="J3" s="10" t="s">
        <v>93</v>
      </c>
      <c r="K3" s="10">
        <v>2.58952260234E11</v>
      </c>
      <c r="L3" s="11">
        <v>91.0</v>
      </c>
      <c r="M3" s="10" t="s">
        <v>102</v>
      </c>
      <c r="N3" s="10" t="s">
        <v>103</v>
      </c>
      <c r="Q3" s="2" t="s">
        <v>97</v>
      </c>
    </row>
    <row r="4">
      <c r="A4" s="10" t="s">
        <v>88</v>
      </c>
      <c r="B4" s="2" t="s">
        <v>98</v>
      </c>
      <c r="C4" s="10" t="s">
        <v>104</v>
      </c>
      <c r="D4" s="10" t="s">
        <v>105</v>
      </c>
      <c r="E4" s="10" t="s">
        <v>106</v>
      </c>
      <c r="F4" s="10" t="s">
        <v>65</v>
      </c>
      <c r="G4" s="11">
        <v>2289567.0</v>
      </c>
      <c r="H4" s="11">
        <v>9.535381266E9</v>
      </c>
      <c r="I4" s="11">
        <v>10003.0</v>
      </c>
      <c r="J4" s="10" t="s">
        <v>93</v>
      </c>
      <c r="K4" s="10">
        <v>3.39976735422E11</v>
      </c>
      <c r="L4" s="11">
        <v>88.0</v>
      </c>
      <c r="M4" s="10" t="s">
        <v>107</v>
      </c>
      <c r="N4" s="10" t="s">
        <v>108</v>
      </c>
      <c r="O4" s="10" t="s">
        <v>109</v>
      </c>
      <c r="Q4" s="2" t="s">
        <v>97</v>
      </c>
    </row>
    <row r="5">
      <c r="A5" s="10" t="s">
        <v>88</v>
      </c>
      <c r="B5" s="2" t="s">
        <v>98</v>
      </c>
      <c r="C5" s="10" t="s">
        <v>110</v>
      </c>
      <c r="D5" s="10" t="s">
        <v>111</v>
      </c>
      <c r="E5" s="10" t="s">
        <v>112</v>
      </c>
      <c r="F5" s="10" t="s">
        <v>65</v>
      </c>
      <c r="G5" s="11">
        <v>2.1412448E7</v>
      </c>
      <c r="H5" s="11">
        <v>9.994807745E9</v>
      </c>
      <c r="I5" s="11">
        <v>10003.0</v>
      </c>
      <c r="J5" s="10" t="s">
        <v>93</v>
      </c>
      <c r="K5" s="10">
        <v>8.60146169783E11</v>
      </c>
      <c r="L5" s="11">
        <v>82.0</v>
      </c>
      <c r="M5" s="10" t="s">
        <v>113</v>
      </c>
      <c r="O5" s="12"/>
      <c r="Q5" s="2" t="s">
        <v>97</v>
      </c>
    </row>
    <row r="6">
      <c r="A6" s="13" t="s">
        <v>88</v>
      </c>
      <c r="B6" s="14" t="s">
        <v>98</v>
      </c>
      <c r="C6" s="13" t="s">
        <v>114</v>
      </c>
      <c r="D6" s="13" t="s">
        <v>115</v>
      </c>
      <c r="E6" s="13" t="s">
        <v>116</v>
      </c>
      <c r="F6" s="15">
        <v>9.535381266E9</v>
      </c>
      <c r="G6" s="15">
        <v>1.7249551E7</v>
      </c>
      <c r="H6" s="15">
        <v>8.095568255E9</v>
      </c>
      <c r="I6" s="15">
        <v>10003.0</v>
      </c>
      <c r="J6" s="13" t="s">
        <v>93</v>
      </c>
      <c r="K6" s="13">
        <v>2.38182750766E11</v>
      </c>
      <c r="L6" s="15">
        <v>100.0</v>
      </c>
      <c r="M6" s="13" t="s">
        <v>117</v>
      </c>
      <c r="O6" s="1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0" t="s">
        <v>88</v>
      </c>
      <c r="B7" s="2" t="s">
        <v>98</v>
      </c>
      <c r="C7" s="10" t="s">
        <v>118</v>
      </c>
      <c r="D7" s="10" t="s">
        <v>119</v>
      </c>
      <c r="E7" s="10" t="s">
        <v>120</v>
      </c>
      <c r="F7" s="11">
        <v>9.159758704E9</v>
      </c>
      <c r="G7" s="11">
        <v>7379968.0</v>
      </c>
      <c r="H7" s="11">
        <v>8.095870306E9</v>
      </c>
      <c r="I7" s="11">
        <v>10003.0</v>
      </c>
      <c r="J7" s="10" t="s">
        <v>93</v>
      </c>
      <c r="K7" s="10">
        <v>2.29225915317E11</v>
      </c>
      <c r="L7" s="11">
        <v>78.0</v>
      </c>
      <c r="M7" s="10" t="s">
        <v>121</v>
      </c>
      <c r="N7" s="10" t="s">
        <v>122</v>
      </c>
      <c r="Q7" s="2" t="s">
        <v>97</v>
      </c>
    </row>
    <row r="8">
      <c r="A8" s="2" t="s">
        <v>8</v>
      </c>
      <c r="B8" s="2" t="s">
        <v>98</v>
      </c>
      <c r="C8" s="10" t="s">
        <v>123</v>
      </c>
      <c r="D8" s="10" t="s">
        <v>124</v>
      </c>
      <c r="E8" s="10" t="s">
        <v>125</v>
      </c>
      <c r="F8" s="10" t="s">
        <v>65</v>
      </c>
      <c r="G8" s="11">
        <v>1.6668428E7</v>
      </c>
      <c r="H8" s="11">
        <v>9.865643639E9</v>
      </c>
      <c r="I8" s="11">
        <v>10003.0</v>
      </c>
      <c r="J8" s="10" t="s">
        <v>93</v>
      </c>
      <c r="K8" s="10">
        <v>5.46324523485E11</v>
      </c>
      <c r="L8" s="11">
        <v>100.0</v>
      </c>
      <c r="M8" s="10" t="s">
        <v>126</v>
      </c>
      <c r="N8" s="10" t="s">
        <v>127</v>
      </c>
      <c r="O8" s="10" t="s">
        <v>128</v>
      </c>
      <c r="Q8" s="2" t="s">
        <v>97</v>
      </c>
    </row>
    <row r="9">
      <c r="A9" s="10" t="s">
        <v>88</v>
      </c>
      <c r="B9" s="2" t="s">
        <v>89</v>
      </c>
      <c r="C9" s="10" t="s">
        <v>129</v>
      </c>
      <c r="D9" s="10" t="s">
        <v>130</v>
      </c>
      <c r="E9" s="10" t="s">
        <v>131</v>
      </c>
      <c r="F9" s="11">
        <v>6.366369301E9</v>
      </c>
      <c r="G9" s="11">
        <v>1.2880451E7</v>
      </c>
      <c r="H9" s="11">
        <v>9.095511363E9</v>
      </c>
      <c r="I9" s="11">
        <v>10003.0</v>
      </c>
      <c r="J9" s="10" t="s">
        <v>93</v>
      </c>
      <c r="K9" s="10">
        <v>2.60084991903E11</v>
      </c>
      <c r="L9" s="11">
        <v>90.0</v>
      </c>
      <c r="M9" s="10" t="s">
        <v>132</v>
      </c>
      <c r="N9" s="10" t="s">
        <v>133</v>
      </c>
      <c r="O9" s="10" t="s">
        <v>134</v>
      </c>
      <c r="Q9" s="2" t="s">
        <v>135</v>
      </c>
    </row>
    <row r="10">
      <c r="A10" s="2" t="s">
        <v>8</v>
      </c>
      <c r="B10" s="2" t="s">
        <v>98</v>
      </c>
      <c r="C10" s="10" t="s">
        <v>136</v>
      </c>
      <c r="D10" s="10" t="s">
        <v>137</v>
      </c>
      <c r="E10" s="10" t="s">
        <v>138</v>
      </c>
      <c r="F10" s="11">
        <v>9.865643639E9</v>
      </c>
      <c r="G10" s="11">
        <v>1.8476059E7</v>
      </c>
      <c r="H10" s="11">
        <v>7.01010482E9</v>
      </c>
      <c r="I10" s="11">
        <v>10007.0</v>
      </c>
      <c r="J10" s="10" t="s">
        <v>139</v>
      </c>
      <c r="K10" s="10" t="s">
        <v>140</v>
      </c>
      <c r="L10" s="11">
        <v>67.0</v>
      </c>
      <c r="M10" s="12"/>
      <c r="N10" s="12"/>
      <c r="O10" s="12"/>
    </row>
    <row r="11">
      <c r="A11" s="18" t="s">
        <v>8</v>
      </c>
      <c r="B11" s="18" t="s">
        <v>98</v>
      </c>
      <c r="C11" s="10" t="s">
        <v>141</v>
      </c>
      <c r="D11" s="19" t="s">
        <v>142</v>
      </c>
      <c r="E11" s="19" t="s">
        <v>142</v>
      </c>
      <c r="F11" s="19" t="s">
        <v>143</v>
      </c>
      <c r="G11" s="19" t="s">
        <v>143</v>
      </c>
      <c r="H11" s="19" t="s">
        <v>142</v>
      </c>
      <c r="I11" s="20"/>
      <c r="J11" s="20"/>
      <c r="K11" s="21"/>
      <c r="L11" s="11">
        <v>0.0</v>
      </c>
      <c r="M11" s="10" t="s">
        <v>144</v>
      </c>
      <c r="N11" s="20"/>
      <c r="O11" s="20"/>
    </row>
    <row r="12">
      <c r="A12" s="2" t="s">
        <v>8</v>
      </c>
      <c r="B12" s="2" t="s">
        <v>89</v>
      </c>
      <c r="C12" s="10" t="s">
        <v>145</v>
      </c>
      <c r="D12" s="10" t="s">
        <v>146</v>
      </c>
      <c r="E12" s="10" t="s">
        <v>125</v>
      </c>
      <c r="F12" s="11">
        <v>9.159758704E9</v>
      </c>
      <c r="G12" s="11">
        <v>7325553.0</v>
      </c>
      <c r="H12" s="11">
        <v>9.159758704E9</v>
      </c>
      <c r="I12" s="11">
        <v>10003.0</v>
      </c>
      <c r="J12" s="10" t="s">
        <v>93</v>
      </c>
      <c r="K12" s="10">
        <v>5.80704541867E11</v>
      </c>
      <c r="L12" s="11">
        <v>73.0</v>
      </c>
      <c r="M12" s="10" t="s">
        <v>147</v>
      </c>
      <c r="Q12" s="2" t="s">
        <v>97</v>
      </c>
    </row>
    <row r="13">
      <c r="A13" s="2" t="s">
        <v>8</v>
      </c>
      <c r="B13" s="2" t="s">
        <v>98</v>
      </c>
      <c r="C13" s="10" t="s">
        <v>148</v>
      </c>
      <c r="D13" s="10" t="s">
        <v>149</v>
      </c>
      <c r="E13" s="10" t="s">
        <v>150</v>
      </c>
      <c r="F13" s="10" t="s">
        <v>68</v>
      </c>
      <c r="G13" s="11">
        <v>1.8858695E7</v>
      </c>
      <c r="H13" s="11">
        <v>9.095511363E9</v>
      </c>
      <c r="I13" s="11">
        <v>10007.0</v>
      </c>
      <c r="J13" s="10" t="s">
        <v>139</v>
      </c>
      <c r="K13" s="10" t="s">
        <v>151</v>
      </c>
      <c r="L13" s="11">
        <v>58.0</v>
      </c>
      <c r="M13" s="10" t="s">
        <v>152</v>
      </c>
      <c r="N13" s="10" t="s">
        <v>153</v>
      </c>
      <c r="O13" s="10" t="s">
        <v>154</v>
      </c>
    </row>
    <row r="14">
      <c r="A14" s="2" t="s">
        <v>8</v>
      </c>
      <c r="B14" s="2" t="s">
        <v>89</v>
      </c>
      <c r="C14" s="10" t="s">
        <v>155</v>
      </c>
      <c r="D14" s="10" t="s">
        <v>156</v>
      </c>
      <c r="E14" s="10" t="s">
        <v>157</v>
      </c>
      <c r="F14" s="11">
        <v>6.366369301E9</v>
      </c>
      <c r="G14" s="11">
        <v>1.7255771E7</v>
      </c>
      <c r="H14" s="11">
        <v>9.159758704E9</v>
      </c>
      <c r="I14" s="11">
        <v>10003.0</v>
      </c>
      <c r="J14" s="10" t="s">
        <v>93</v>
      </c>
      <c r="K14" s="10">
        <v>2.28082827489E11</v>
      </c>
      <c r="L14" s="11">
        <v>83.0</v>
      </c>
      <c r="M14" s="10" t="s">
        <v>158</v>
      </c>
    </row>
    <row r="15">
      <c r="A15" s="2" t="s">
        <v>159</v>
      </c>
      <c r="B15" s="2" t="s">
        <v>98</v>
      </c>
      <c r="C15" s="10" t="s">
        <v>160</v>
      </c>
      <c r="D15" s="10" t="s">
        <v>161</v>
      </c>
      <c r="E15" s="10" t="s">
        <v>162</v>
      </c>
      <c r="F15" s="11">
        <v>9.159758704E9</v>
      </c>
      <c r="G15" s="11">
        <v>1.7249551E7</v>
      </c>
      <c r="H15" s="11">
        <v>8.095568255E9</v>
      </c>
      <c r="I15" s="11">
        <v>10003.0</v>
      </c>
      <c r="J15" s="10" t="s">
        <v>93</v>
      </c>
      <c r="K15" s="10">
        <v>5.42973751779E11</v>
      </c>
      <c r="L15" s="11">
        <v>50.0</v>
      </c>
      <c r="M15" s="20"/>
      <c r="N15" s="20"/>
      <c r="O15" s="20"/>
    </row>
    <row r="16">
      <c r="A16" s="10" t="s">
        <v>163</v>
      </c>
      <c r="B16" s="2" t="s">
        <v>89</v>
      </c>
      <c r="C16" s="10" t="s">
        <v>163</v>
      </c>
      <c r="D16" s="10" t="s">
        <v>164</v>
      </c>
      <c r="E16" s="10" t="s">
        <v>165</v>
      </c>
      <c r="F16" s="11">
        <v>6.366369301E9</v>
      </c>
      <c r="G16" s="11">
        <v>1.994639E7</v>
      </c>
      <c r="H16" s="11">
        <v>9.003334153E9</v>
      </c>
      <c r="I16" s="11">
        <v>10003.0</v>
      </c>
      <c r="J16" s="10" t="s">
        <v>93</v>
      </c>
      <c r="K16" s="10">
        <v>5.81513214586E11</v>
      </c>
      <c r="L16" s="11">
        <v>100.0</v>
      </c>
      <c r="M16" s="12"/>
      <c r="N16" s="12"/>
      <c r="O16" s="12"/>
      <c r="Q16" s="2" t="s">
        <v>97</v>
      </c>
    </row>
    <row r="17">
      <c r="A17" s="10" t="s">
        <v>163</v>
      </c>
      <c r="B17" s="2" t="s">
        <v>89</v>
      </c>
      <c r="C17" s="10" t="s">
        <v>166</v>
      </c>
      <c r="D17" s="10" t="s">
        <v>167</v>
      </c>
      <c r="E17" s="10" t="s">
        <v>168</v>
      </c>
      <c r="F17" s="11">
        <v>6.366369301E9</v>
      </c>
      <c r="G17" s="11">
        <v>1.9946723E7</v>
      </c>
      <c r="H17" s="11">
        <v>9.003334153E9</v>
      </c>
      <c r="I17" s="11">
        <v>10003.0</v>
      </c>
      <c r="J17" s="10" t="s">
        <v>93</v>
      </c>
      <c r="K17" s="10">
        <v>8.76686887618E11</v>
      </c>
      <c r="L17" s="11">
        <v>90.0</v>
      </c>
      <c r="M17" s="12"/>
      <c r="N17" s="12"/>
      <c r="O17" s="12"/>
      <c r="Q17" s="2" t="s">
        <v>97</v>
      </c>
    </row>
    <row r="18">
      <c r="A18" s="10" t="s">
        <v>169</v>
      </c>
      <c r="B18" s="2" t="s">
        <v>89</v>
      </c>
      <c r="C18" s="10" t="s">
        <v>170</v>
      </c>
      <c r="D18" s="10" t="s">
        <v>171</v>
      </c>
      <c r="E18" s="10" t="s">
        <v>165</v>
      </c>
      <c r="F18" s="11">
        <v>9.159758704E9</v>
      </c>
      <c r="G18" s="11">
        <v>1.2602554E7</v>
      </c>
      <c r="H18" s="11">
        <v>8.66801499E9</v>
      </c>
      <c r="I18" s="11">
        <v>10003.0</v>
      </c>
      <c r="J18" s="10" t="s">
        <v>93</v>
      </c>
      <c r="K18" s="10">
        <v>4.49921096811E11</v>
      </c>
      <c r="L18" s="11">
        <v>83.0</v>
      </c>
      <c r="M18" s="10" t="s">
        <v>172</v>
      </c>
      <c r="N18" s="10" t="s">
        <v>173</v>
      </c>
      <c r="O18" s="10" t="s">
        <v>174</v>
      </c>
      <c r="Q18" s="2" t="s">
        <v>97</v>
      </c>
    </row>
    <row r="19">
      <c r="A19" s="10" t="s">
        <v>169</v>
      </c>
      <c r="B19" s="2" t="s">
        <v>98</v>
      </c>
      <c r="C19" s="10" t="s">
        <v>175</v>
      </c>
      <c r="D19" s="10" t="s">
        <v>176</v>
      </c>
      <c r="E19" s="10" t="s">
        <v>177</v>
      </c>
      <c r="F19" s="10" t="s">
        <v>68</v>
      </c>
      <c r="G19" s="11">
        <v>1.8839691E7</v>
      </c>
      <c r="H19" s="11">
        <v>8.095568255E9</v>
      </c>
      <c r="I19" s="11">
        <v>10003.0</v>
      </c>
      <c r="J19" s="10" t="s">
        <v>93</v>
      </c>
      <c r="K19" s="10">
        <v>9.1525048872E11</v>
      </c>
      <c r="L19" s="11">
        <v>67.0</v>
      </c>
      <c r="M19" s="10" t="s">
        <v>178</v>
      </c>
      <c r="N19" s="10" t="s">
        <v>179</v>
      </c>
      <c r="O19" s="10" t="s">
        <v>180</v>
      </c>
    </row>
    <row r="20">
      <c r="A20" s="10" t="s">
        <v>169</v>
      </c>
      <c r="B20" s="2" t="s">
        <v>98</v>
      </c>
      <c r="C20" s="10" t="s">
        <v>169</v>
      </c>
      <c r="D20" s="10" t="s">
        <v>181</v>
      </c>
      <c r="E20" s="10" t="s">
        <v>182</v>
      </c>
      <c r="F20" s="10" t="s">
        <v>65</v>
      </c>
      <c r="G20" s="11">
        <v>7256130.0</v>
      </c>
      <c r="H20" s="11">
        <v>6.366369301E9</v>
      </c>
      <c r="I20" s="11">
        <v>10003.0</v>
      </c>
      <c r="J20" s="10" t="s">
        <v>93</v>
      </c>
      <c r="K20" s="10">
        <v>2.55893008074E11</v>
      </c>
      <c r="L20" s="11">
        <v>71.0</v>
      </c>
      <c r="M20" s="10" t="s">
        <v>183</v>
      </c>
      <c r="O20" s="20"/>
      <c r="Q20" s="2" t="s">
        <v>97</v>
      </c>
    </row>
    <row r="21">
      <c r="A21" s="10" t="s">
        <v>184</v>
      </c>
      <c r="B21" s="2" t="s">
        <v>98</v>
      </c>
      <c r="C21" s="10" t="s">
        <v>184</v>
      </c>
      <c r="D21" s="10" t="s">
        <v>185</v>
      </c>
      <c r="E21" s="10" t="s">
        <v>186</v>
      </c>
      <c r="F21" s="10" t="s">
        <v>68</v>
      </c>
      <c r="G21" s="11">
        <v>1.8811701E7</v>
      </c>
      <c r="H21" s="11">
        <v>7.339428498E9</v>
      </c>
      <c r="I21" s="11">
        <v>10007.0</v>
      </c>
      <c r="J21" s="10" t="s">
        <v>139</v>
      </c>
      <c r="K21" s="10" t="s">
        <v>187</v>
      </c>
      <c r="L21" s="11">
        <v>80.0</v>
      </c>
      <c r="M21" s="20"/>
      <c r="N21" s="20"/>
      <c r="O21" s="20"/>
      <c r="Q21" s="2" t="s">
        <v>97</v>
      </c>
    </row>
    <row r="22">
      <c r="A22" s="2" t="s">
        <v>188</v>
      </c>
      <c r="B22" s="2" t="s">
        <v>98</v>
      </c>
      <c r="C22" s="10" t="s">
        <v>189</v>
      </c>
      <c r="D22" s="10" t="s">
        <v>190</v>
      </c>
      <c r="E22" s="10" t="s">
        <v>191</v>
      </c>
      <c r="F22" s="11">
        <v>9.159758704E9</v>
      </c>
      <c r="G22" s="11">
        <v>7452200.0</v>
      </c>
      <c r="H22" s="20"/>
      <c r="I22" s="11">
        <v>10003.0</v>
      </c>
      <c r="J22" s="10" t="s">
        <v>93</v>
      </c>
      <c r="K22" s="10">
        <v>5.19585934161E11</v>
      </c>
      <c r="L22" s="11">
        <v>64.0</v>
      </c>
      <c r="M22" s="10" t="s">
        <v>192</v>
      </c>
      <c r="N22" s="20"/>
      <c r="O22" s="20"/>
    </row>
    <row r="23">
      <c r="A23" s="2" t="s">
        <v>188</v>
      </c>
      <c r="B23" s="2" t="s">
        <v>89</v>
      </c>
      <c r="C23" s="10" t="s">
        <v>193</v>
      </c>
      <c r="D23" s="10" t="s">
        <v>181</v>
      </c>
      <c r="E23" s="10" t="s">
        <v>182</v>
      </c>
      <c r="F23" s="10" t="s">
        <v>65</v>
      </c>
      <c r="G23" s="11">
        <v>7256130.0</v>
      </c>
      <c r="H23" s="11">
        <v>6.366369301E9</v>
      </c>
      <c r="I23" s="11">
        <v>10003.0</v>
      </c>
      <c r="J23" s="10" t="s">
        <v>93</v>
      </c>
      <c r="K23" s="10">
        <v>2.55893008074E11</v>
      </c>
      <c r="L23" s="11">
        <v>82.0</v>
      </c>
      <c r="M23" s="10" t="s">
        <v>194</v>
      </c>
      <c r="O23" s="20"/>
      <c r="Q23" s="2" t="s">
        <v>97</v>
      </c>
    </row>
    <row r="24">
      <c r="A24" s="10" t="s">
        <v>195</v>
      </c>
      <c r="B24" s="2" t="s">
        <v>89</v>
      </c>
      <c r="C24" s="10" t="s">
        <v>196</v>
      </c>
      <c r="D24" s="10" t="s">
        <v>197</v>
      </c>
      <c r="E24" s="10" t="s">
        <v>198</v>
      </c>
      <c r="F24" s="11">
        <v>9.535381266E9</v>
      </c>
      <c r="G24" s="11">
        <v>1.7426935E7</v>
      </c>
      <c r="H24" s="11">
        <v>8.095568255E9</v>
      </c>
      <c r="I24" s="11">
        <v>10003.0</v>
      </c>
      <c r="J24" s="10" t="s">
        <v>93</v>
      </c>
      <c r="K24" s="10">
        <v>9.67465847485E11</v>
      </c>
      <c r="L24" s="11">
        <v>88.0</v>
      </c>
      <c r="M24" s="10" t="s">
        <v>199</v>
      </c>
    </row>
    <row r="25">
      <c r="A25" s="10" t="s">
        <v>195</v>
      </c>
      <c r="B25" s="2" t="s">
        <v>89</v>
      </c>
      <c r="C25" s="10" t="s">
        <v>200</v>
      </c>
      <c r="D25" s="10" t="s">
        <v>201</v>
      </c>
      <c r="E25" s="10" t="s">
        <v>125</v>
      </c>
      <c r="F25" s="11">
        <v>9.865643639E9</v>
      </c>
      <c r="G25" s="11">
        <v>1.8237643E7</v>
      </c>
      <c r="H25" s="11">
        <v>9.79100877E9</v>
      </c>
      <c r="I25" s="11">
        <v>10003.0</v>
      </c>
      <c r="J25" s="10" t="s">
        <v>93</v>
      </c>
      <c r="K25" s="10">
        <v>3.00434305168E11</v>
      </c>
      <c r="L25" s="11">
        <v>45.0</v>
      </c>
      <c r="M25" s="20"/>
      <c r="N25" s="20"/>
      <c r="O25" s="20"/>
    </row>
    <row r="26">
      <c r="A26" s="2" t="s">
        <v>202</v>
      </c>
      <c r="B26" s="2" t="s">
        <v>98</v>
      </c>
      <c r="C26" s="10" t="s">
        <v>29</v>
      </c>
      <c r="D26" s="10" t="s">
        <v>203</v>
      </c>
      <c r="E26" s="10" t="s">
        <v>204</v>
      </c>
      <c r="F26" s="11">
        <v>9.159758704E9</v>
      </c>
      <c r="G26" s="11">
        <v>7355729.0</v>
      </c>
      <c r="H26" s="11">
        <v>9.578327597E9</v>
      </c>
      <c r="I26" s="11">
        <v>10003.0</v>
      </c>
      <c r="J26" s="10" t="s">
        <v>93</v>
      </c>
      <c r="K26" s="10">
        <v>3.08502820166E11</v>
      </c>
      <c r="L26" s="11">
        <v>91.0</v>
      </c>
      <c r="M26" s="20"/>
      <c r="N26" s="20"/>
      <c r="O26" s="20"/>
      <c r="Q26" s="2" t="s">
        <v>97</v>
      </c>
    </row>
    <row r="27">
      <c r="A27" s="18" t="s">
        <v>202</v>
      </c>
      <c r="B27" s="18" t="s">
        <v>98</v>
      </c>
      <c r="C27" s="10" t="s">
        <v>30</v>
      </c>
      <c r="D27" s="19" t="s">
        <v>142</v>
      </c>
      <c r="E27" s="19" t="s">
        <v>142</v>
      </c>
      <c r="F27" s="19" t="s">
        <v>143</v>
      </c>
      <c r="G27" s="19" t="s">
        <v>143</v>
      </c>
      <c r="H27" s="19" t="s">
        <v>142</v>
      </c>
      <c r="I27" s="20"/>
      <c r="J27" s="20"/>
      <c r="K27" s="21"/>
      <c r="L27" s="11">
        <v>0.0</v>
      </c>
      <c r="M27" s="10"/>
      <c r="O27" s="20"/>
    </row>
    <row r="28">
      <c r="A28" s="10" t="s">
        <v>205</v>
      </c>
      <c r="B28" s="2" t="s">
        <v>89</v>
      </c>
      <c r="C28" s="10" t="s">
        <v>205</v>
      </c>
      <c r="D28" s="10" t="s">
        <v>204</v>
      </c>
      <c r="E28" s="10" t="s">
        <v>206</v>
      </c>
      <c r="F28" s="11">
        <v>9.865643639E9</v>
      </c>
      <c r="G28" s="11">
        <v>8245513.0</v>
      </c>
      <c r="H28" s="20"/>
      <c r="I28" s="11">
        <v>10003.0</v>
      </c>
      <c r="J28" s="10" t="s">
        <v>93</v>
      </c>
      <c r="K28" s="10">
        <v>8.14783935518E11</v>
      </c>
      <c r="L28" s="11">
        <v>89.0</v>
      </c>
      <c r="M28" s="10" t="s">
        <v>207</v>
      </c>
      <c r="N28" s="10" t="s">
        <v>208</v>
      </c>
    </row>
    <row r="29">
      <c r="A29" s="10" t="s">
        <v>205</v>
      </c>
      <c r="B29" s="2" t="s">
        <v>89</v>
      </c>
      <c r="C29" s="10" t="s">
        <v>209</v>
      </c>
      <c r="D29" s="10" t="s">
        <v>210</v>
      </c>
      <c r="E29" s="10" t="s">
        <v>204</v>
      </c>
      <c r="F29" s="11">
        <v>9.865643639E9</v>
      </c>
      <c r="G29" s="11">
        <v>8245897.0</v>
      </c>
      <c r="H29" s="20"/>
      <c r="I29" s="11">
        <v>10003.0</v>
      </c>
      <c r="J29" s="10" t="s">
        <v>93</v>
      </c>
      <c r="K29" s="10">
        <v>7.26849698219E11</v>
      </c>
      <c r="L29" s="11">
        <v>87.0</v>
      </c>
      <c r="M29" s="12"/>
      <c r="N29" s="12"/>
      <c r="O29" s="12"/>
    </row>
    <row r="30">
      <c r="A30" s="10" t="s">
        <v>205</v>
      </c>
      <c r="B30" s="2" t="s">
        <v>89</v>
      </c>
      <c r="C30" s="10" t="s">
        <v>211</v>
      </c>
      <c r="D30" s="10" t="s">
        <v>212</v>
      </c>
      <c r="E30" s="10" t="s">
        <v>213</v>
      </c>
      <c r="F30" s="11">
        <v>6.366369301E9</v>
      </c>
      <c r="G30" s="11">
        <v>1.7256262E7</v>
      </c>
      <c r="H30" s="11">
        <v>8.667430421E9</v>
      </c>
      <c r="I30" s="11">
        <v>10003.0</v>
      </c>
      <c r="J30" s="10" t="s">
        <v>93</v>
      </c>
      <c r="K30" s="10">
        <v>6.45290102988E11</v>
      </c>
      <c r="L30" s="11">
        <v>88.0</v>
      </c>
      <c r="M30" s="20"/>
      <c r="N30" s="20"/>
      <c r="O30" s="20"/>
    </row>
    <row r="31">
      <c r="A31" s="10" t="s">
        <v>214</v>
      </c>
      <c r="B31" s="2" t="s">
        <v>98</v>
      </c>
      <c r="C31" s="10" t="s">
        <v>214</v>
      </c>
      <c r="D31" s="10" t="s">
        <v>124</v>
      </c>
      <c r="E31" s="10" t="s">
        <v>206</v>
      </c>
      <c r="F31" s="10" t="s">
        <v>68</v>
      </c>
      <c r="G31" s="11">
        <v>1.8668349E7</v>
      </c>
      <c r="H31" s="11">
        <v>8.095568255E9</v>
      </c>
      <c r="I31" s="11">
        <v>10007.0</v>
      </c>
      <c r="J31" s="10" t="s">
        <v>139</v>
      </c>
      <c r="K31" s="10" t="s">
        <v>215</v>
      </c>
      <c r="L31" s="11">
        <v>67.0</v>
      </c>
      <c r="M31" s="10" t="s">
        <v>216</v>
      </c>
      <c r="N31" s="10" t="s">
        <v>217</v>
      </c>
      <c r="O31" s="10" t="s">
        <v>218</v>
      </c>
    </row>
    <row r="32">
      <c r="A32" s="10" t="s">
        <v>214</v>
      </c>
      <c r="B32" s="2" t="s">
        <v>98</v>
      </c>
      <c r="C32" s="10" t="s">
        <v>35</v>
      </c>
      <c r="D32" s="10" t="s">
        <v>219</v>
      </c>
      <c r="E32" s="10" t="s">
        <v>124</v>
      </c>
      <c r="F32" s="11">
        <v>6.366369301E9</v>
      </c>
      <c r="G32" s="11">
        <v>1.2741568E7</v>
      </c>
      <c r="H32" s="11">
        <v>9.363322084E9</v>
      </c>
      <c r="I32" s="11">
        <v>10003.0</v>
      </c>
      <c r="J32" s="10" t="s">
        <v>93</v>
      </c>
      <c r="K32" s="10">
        <v>3.82008428311E11</v>
      </c>
      <c r="L32" s="11">
        <v>83.0</v>
      </c>
      <c r="M32" s="10" t="s">
        <v>220</v>
      </c>
      <c r="O32" s="12"/>
    </row>
    <row r="33">
      <c r="A33" s="2" t="s">
        <v>8</v>
      </c>
      <c r="B33" s="2" t="s">
        <v>98</v>
      </c>
      <c r="C33" s="10" t="s">
        <v>221</v>
      </c>
      <c r="D33" s="10" t="s">
        <v>222</v>
      </c>
      <c r="E33" s="10" t="s">
        <v>223</v>
      </c>
      <c r="F33" s="10" t="s">
        <v>65</v>
      </c>
      <c r="G33" s="11">
        <v>2595948.0</v>
      </c>
      <c r="H33" s="11">
        <v>8.07259032E9</v>
      </c>
      <c r="I33" s="11">
        <v>10007.0</v>
      </c>
      <c r="J33" s="10" t="s">
        <v>139</v>
      </c>
      <c r="K33" s="10" t="s">
        <v>224</v>
      </c>
      <c r="L33" s="11">
        <v>88.0</v>
      </c>
      <c r="M33" s="10" t="s">
        <v>225</v>
      </c>
    </row>
    <row r="34">
      <c r="A34" s="10" t="s">
        <v>37</v>
      </c>
      <c r="B34" s="2" t="s">
        <v>226</v>
      </c>
      <c r="C34" s="10" t="s">
        <v>37</v>
      </c>
      <c r="D34" s="10" t="s">
        <v>227</v>
      </c>
      <c r="E34" s="10" t="s">
        <v>150</v>
      </c>
      <c r="F34" s="11">
        <v>9.865643639E9</v>
      </c>
      <c r="G34" s="11">
        <v>1.7645193E7</v>
      </c>
      <c r="H34" s="11">
        <v>6.385699208E9</v>
      </c>
      <c r="I34" s="11">
        <v>10003.0</v>
      </c>
      <c r="J34" s="10" t="s">
        <v>93</v>
      </c>
      <c r="K34" s="10">
        <v>2.34021115539E11</v>
      </c>
      <c r="L34" s="11">
        <v>67.0</v>
      </c>
      <c r="M34" s="10" t="s">
        <v>228</v>
      </c>
      <c r="N34" s="10" t="s">
        <v>229</v>
      </c>
    </row>
    <row r="35">
      <c r="A35" s="10" t="s">
        <v>230</v>
      </c>
      <c r="B35" s="2" t="s">
        <v>89</v>
      </c>
      <c r="C35" s="10" t="s">
        <v>231</v>
      </c>
      <c r="D35" s="10" t="s">
        <v>230</v>
      </c>
      <c r="E35" s="10" t="s">
        <v>232</v>
      </c>
      <c r="F35" s="11">
        <v>6.366369301E9</v>
      </c>
      <c r="G35" s="11">
        <v>1.2647014E7</v>
      </c>
      <c r="H35" s="11">
        <v>9.384238407E9</v>
      </c>
      <c r="I35" s="11">
        <v>10003.0</v>
      </c>
      <c r="J35" s="10" t="s">
        <v>93</v>
      </c>
      <c r="K35" s="10">
        <v>3.67066880128E11</v>
      </c>
      <c r="L35" s="11">
        <v>70.0</v>
      </c>
      <c r="M35" s="10" t="s">
        <v>233</v>
      </c>
      <c r="O35" s="12"/>
    </row>
    <row r="36">
      <c r="A36" s="2" t="s">
        <v>234</v>
      </c>
      <c r="B36" s="2" t="s">
        <v>98</v>
      </c>
      <c r="C36" s="10" t="s">
        <v>235</v>
      </c>
      <c r="D36" s="10" t="s">
        <v>236</v>
      </c>
      <c r="E36" s="10" t="s">
        <v>171</v>
      </c>
      <c r="F36" s="11">
        <v>9.159758704E9</v>
      </c>
      <c r="G36" s="11">
        <v>7326041.0</v>
      </c>
      <c r="H36" s="11">
        <v>9.159722324E9</v>
      </c>
      <c r="I36" s="11">
        <v>10003.0</v>
      </c>
      <c r="J36" s="10" t="s">
        <v>93</v>
      </c>
      <c r="K36" s="10">
        <v>3.90169281104E11</v>
      </c>
      <c r="L36" s="11">
        <v>91.0</v>
      </c>
      <c r="M36" s="10" t="s">
        <v>237</v>
      </c>
      <c r="N36" s="10" t="s">
        <v>238</v>
      </c>
      <c r="O36" s="10" t="s">
        <v>239</v>
      </c>
    </row>
    <row r="37">
      <c r="A37" s="2" t="s">
        <v>88</v>
      </c>
      <c r="B37" s="2" t="s">
        <v>89</v>
      </c>
      <c r="C37" s="10" t="s">
        <v>240</v>
      </c>
      <c r="D37" s="10" t="s">
        <v>241</v>
      </c>
      <c r="E37" s="10" t="s">
        <v>242</v>
      </c>
      <c r="F37" s="11">
        <v>9.865643639E9</v>
      </c>
      <c r="G37" s="11">
        <v>8245305.0</v>
      </c>
      <c r="H37" s="12"/>
      <c r="I37" s="11">
        <v>10003.0</v>
      </c>
      <c r="J37" s="10" t="s">
        <v>93</v>
      </c>
      <c r="K37" s="10">
        <v>8.44806719409E11</v>
      </c>
      <c r="L37" s="11">
        <v>79.0</v>
      </c>
      <c r="M37" s="12"/>
      <c r="N37" s="12"/>
      <c r="O37" s="12"/>
      <c r="Q37" s="2" t="s">
        <v>97</v>
      </c>
    </row>
    <row r="38">
      <c r="A38" s="2" t="s">
        <v>243</v>
      </c>
      <c r="B38" s="2" t="s">
        <v>89</v>
      </c>
      <c r="C38" s="10" t="s">
        <v>243</v>
      </c>
      <c r="D38" s="10" t="s">
        <v>244</v>
      </c>
      <c r="E38" s="10" t="s">
        <v>206</v>
      </c>
      <c r="F38" s="11">
        <v>9.159758704E9</v>
      </c>
      <c r="G38" s="11">
        <v>7379577.0</v>
      </c>
      <c r="H38" s="12"/>
      <c r="I38" s="11">
        <v>10003.0</v>
      </c>
      <c r="J38" s="10" t="s">
        <v>93</v>
      </c>
      <c r="K38" s="10">
        <v>6.1345942743E11</v>
      </c>
      <c r="L38" s="11">
        <v>83.0</v>
      </c>
      <c r="M38" s="10" t="s">
        <v>245</v>
      </c>
      <c r="N38" s="10" t="s">
        <v>246</v>
      </c>
    </row>
    <row r="39">
      <c r="A39" s="2" t="s">
        <v>243</v>
      </c>
      <c r="B39" s="2" t="s">
        <v>89</v>
      </c>
      <c r="C39" s="10" t="s">
        <v>247</v>
      </c>
      <c r="D39" s="10" t="s">
        <v>248</v>
      </c>
      <c r="E39" s="10" t="s">
        <v>249</v>
      </c>
      <c r="F39" s="11">
        <v>9.535381266E9</v>
      </c>
      <c r="G39" s="11">
        <v>8101174.0</v>
      </c>
      <c r="H39" s="11">
        <v>9.698924678E9</v>
      </c>
      <c r="I39" s="11">
        <v>10003.0</v>
      </c>
      <c r="J39" s="10" t="s">
        <v>93</v>
      </c>
      <c r="K39" s="10">
        <v>4.77860897507E11</v>
      </c>
      <c r="L39" s="11">
        <v>78.0</v>
      </c>
      <c r="M39" s="12"/>
      <c r="N39" s="12"/>
      <c r="O39" s="12"/>
    </row>
    <row r="40">
      <c r="A40" s="2" t="s">
        <v>184</v>
      </c>
      <c r="B40" s="2" t="s">
        <v>98</v>
      </c>
      <c r="C40" s="10" t="s">
        <v>250</v>
      </c>
      <c r="D40" s="10" t="s">
        <v>251</v>
      </c>
      <c r="E40" s="10" t="s">
        <v>206</v>
      </c>
      <c r="F40" s="11">
        <v>9.810026891E9</v>
      </c>
      <c r="G40" s="11">
        <v>1.8667983E7</v>
      </c>
      <c r="H40" s="11">
        <v>9.810026891E9</v>
      </c>
      <c r="I40" s="11">
        <v>10007.0</v>
      </c>
      <c r="J40" s="10" t="s">
        <v>139</v>
      </c>
      <c r="K40" s="10" t="s">
        <v>252</v>
      </c>
      <c r="L40" s="11">
        <v>78.0</v>
      </c>
      <c r="M40" s="10" t="s">
        <v>253</v>
      </c>
      <c r="O40" s="12"/>
    </row>
    <row r="41">
      <c r="A41" s="2" t="s">
        <v>184</v>
      </c>
      <c r="B41" s="2" t="s">
        <v>226</v>
      </c>
      <c r="C41" s="10" t="s">
        <v>254</v>
      </c>
      <c r="D41" s="10" t="s">
        <v>227</v>
      </c>
      <c r="E41" s="10" t="s">
        <v>150</v>
      </c>
      <c r="F41" s="11">
        <v>9.865643639E9</v>
      </c>
      <c r="G41" s="11">
        <v>1.7645193E7</v>
      </c>
      <c r="H41" s="11">
        <v>6.385699208E9</v>
      </c>
      <c r="I41" s="11">
        <v>10003.0</v>
      </c>
      <c r="J41" s="10" t="s">
        <v>93</v>
      </c>
      <c r="K41" s="10">
        <v>2.34021115539E11</v>
      </c>
      <c r="L41" s="11">
        <v>91.0</v>
      </c>
      <c r="M41" s="10" t="s">
        <v>255</v>
      </c>
      <c r="N41" s="10" t="s">
        <v>256</v>
      </c>
    </row>
    <row r="42">
      <c r="A42" s="2" t="s">
        <v>88</v>
      </c>
      <c r="B42" s="2" t="s">
        <v>98</v>
      </c>
      <c r="C42" s="10" t="s">
        <v>257</v>
      </c>
      <c r="D42" s="10" t="s">
        <v>258</v>
      </c>
      <c r="E42" s="10" t="s">
        <v>259</v>
      </c>
      <c r="F42" s="10" t="s">
        <v>65</v>
      </c>
      <c r="G42" s="11">
        <v>1.6630619E7</v>
      </c>
      <c r="H42" s="11">
        <v>9.980990391E9</v>
      </c>
      <c r="I42" s="11">
        <v>10003.0</v>
      </c>
      <c r="J42" s="10" t="s">
        <v>93</v>
      </c>
      <c r="K42" s="10">
        <v>7.65977945387E11</v>
      </c>
      <c r="L42" s="11">
        <v>91.0</v>
      </c>
      <c r="M42" s="10" t="s">
        <v>260</v>
      </c>
      <c r="N42" s="10" t="s">
        <v>261</v>
      </c>
      <c r="Q42" s="2" t="s">
        <v>97</v>
      </c>
    </row>
    <row r="43">
      <c r="A43" s="2" t="s">
        <v>88</v>
      </c>
      <c r="B43" s="2" t="s">
        <v>98</v>
      </c>
      <c r="C43" s="10" t="s">
        <v>262</v>
      </c>
      <c r="D43" s="10" t="s">
        <v>263</v>
      </c>
      <c r="E43" s="10" t="s">
        <v>259</v>
      </c>
      <c r="F43" s="11">
        <v>9.980990391E9</v>
      </c>
      <c r="G43" s="11">
        <v>1.2543197E7</v>
      </c>
      <c r="H43" s="11">
        <v>9.538692711E9</v>
      </c>
      <c r="I43" s="11">
        <v>10003.0</v>
      </c>
      <c r="J43" s="10" t="s">
        <v>93</v>
      </c>
      <c r="K43" s="10">
        <v>5.72583697195E11</v>
      </c>
      <c r="L43" s="11">
        <v>85.0</v>
      </c>
      <c r="M43" s="10" t="s">
        <v>264</v>
      </c>
      <c r="N43" s="10" t="s">
        <v>265</v>
      </c>
      <c r="O43" s="10" t="s">
        <v>266</v>
      </c>
      <c r="Q43" s="2" t="s">
        <v>97</v>
      </c>
    </row>
    <row r="44">
      <c r="A44" s="18" t="s">
        <v>267</v>
      </c>
      <c r="B44" s="18" t="s">
        <v>89</v>
      </c>
      <c r="C44" s="10" t="s">
        <v>268</v>
      </c>
      <c r="D44" s="20"/>
      <c r="E44" s="20"/>
      <c r="F44" s="20"/>
      <c r="G44" s="20"/>
      <c r="H44" s="20"/>
      <c r="I44" s="12"/>
      <c r="J44" s="12"/>
      <c r="K44" s="21"/>
      <c r="L44" s="11">
        <v>0.0</v>
      </c>
      <c r="M44" s="10" t="s">
        <v>144</v>
      </c>
      <c r="N44" s="12"/>
      <c r="O44" s="12"/>
    </row>
    <row r="45">
      <c r="A45" s="2" t="s">
        <v>88</v>
      </c>
      <c r="B45" s="2" t="s">
        <v>89</v>
      </c>
      <c r="C45" s="10" t="s">
        <v>269</v>
      </c>
      <c r="D45" s="10" t="s">
        <v>242</v>
      </c>
      <c r="E45" s="10" t="s">
        <v>270</v>
      </c>
      <c r="F45" s="10" t="s">
        <v>65</v>
      </c>
      <c r="G45" s="11">
        <v>1756648.0</v>
      </c>
      <c r="H45" s="11">
        <v>9.942912094E9</v>
      </c>
      <c r="I45" s="11">
        <v>10003.0</v>
      </c>
      <c r="J45" s="10" t="s">
        <v>93</v>
      </c>
      <c r="K45" s="10">
        <v>7.44556592639E11</v>
      </c>
      <c r="L45" s="11">
        <v>79.0</v>
      </c>
      <c r="M45" s="10" t="s">
        <v>271</v>
      </c>
      <c r="N45" s="10" t="s">
        <v>272</v>
      </c>
      <c r="Q45" s="2" t="s">
        <v>97</v>
      </c>
    </row>
    <row r="46">
      <c r="A46" s="2" t="s">
        <v>88</v>
      </c>
      <c r="B46" s="2" t="s">
        <v>89</v>
      </c>
      <c r="C46" s="10" t="s">
        <v>273</v>
      </c>
      <c r="D46" s="10" t="s">
        <v>274</v>
      </c>
      <c r="E46" s="10" t="s">
        <v>242</v>
      </c>
      <c r="F46" s="11">
        <v>6.366369301E9</v>
      </c>
      <c r="G46" s="11">
        <v>1.7258374E7</v>
      </c>
      <c r="H46" s="11">
        <v>7.35896663E9</v>
      </c>
      <c r="I46" s="11">
        <v>10003.0</v>
      </c>
      <c r="J46" s="10" t="s">
        <v>93</v>
      </c>
      <c r="K46" s="10">
        <v>7.35317093397E11</v>
      </c>
      <c r="L46" s="11">
        <v>82.0</v>
      </c>
      <c r="M46" s="10" t="s">
        <v>275</v>
      </c>
      <c r="N46" s="10" t="s">
        <v>276</v>
      </c>
      <c r="O46" s="10" t="s">
        <v>277</v>
      </c>
    </row>
    <row r="47">
      <c r="A47" s="18" t="s">
        <v>88</v>
      </c>
      <c r="B47" s="18" t="s">
        <v>98</v>
      </c>
      <c r="C47" s="10" t="s">
        <v>278</v>
      </c>
      <c r="D47" s="19" t="s">
        <v>142</v>
      </c>
      <c r="E47" s="19" t="s">
        <v>142</v>
      </c>
      <c r="F47" s="19" t="s">
        <v>143</v>
      </c>
      <c r="G47" s="19" t="s">
        <v>143</v>
      </c>
      <c r="H47" s="19" t="s">
        <v>142</v>
      </c>
      <c r="I47" s="12"/>
      <c r="J47" s="12"/>
      <c r="K47" s="21"/>
      <c r="L47" s="11">
        <v>0.0</v>
      </c>
      <c r="M47" s="10" t="s">
        <v>144</v>
      </c>
      <c r="N47" s="12"/>
      <c r="O47" s="12"/>
    </row>
    <row r="48">
      <c r="A48" s="2" t="s">
        <v>8</v>
      </c>
      <c r="C48" s="10" t="s">
        <v>279</v>
      </c>
      <c r="D48" s="10" t="s">
        <v>280</v>
      </c>
      <c r="E48" s="10" t="s">
        <v>281</v>
      </c>
      <c r="F48" s="11">
        <v>6.366369301E9</v>
      </c>
      <c r="G48" s="11">
        <v>1.7255624E7</v>
      </c>
      <c r="H48" s="11">
        <v>6.380016095E9</v>
      </c>
      <c r="I48" s="11">
        <v>10003.0</v>
      </c>
      <c r="J48" s="10" t="s">
        <v>93</v>
      </c>
      <c r="K48" s="10">
        <v>5.28886522569E11</v>
      </c>
      <c r="L48" s="11">
        <v>80.0</v>
      </c>
      <c r="M48" s="10" t="s">
        <v>282</v>
      </c>
      <c r="N48" s="10" t="s">
        <v>283</v>
      </c>
    </row>
    <row r="49">
      <c r="A49" s="2" t="s">
        <v>88</v>
      </c>
      <c r="B49" s="2" t="s">
        <v>98</v>
      </c>
      <c r="C49" s="10" t="s">
        <v>284</v>
      </c>
      <c r="D49" s="10" t="s">
        <v>285</v>
      </c>
      <c r="E49" s="10" t="s">
        <v>165</v>
      </c>
      <c r="F49" s="10" t="s">
        <v>65</v>
      </c>
      <c r="G49" s="11">
        <v>1757421.0</v>
      </c>
      <c r="H49" s="11">
        <v>8.980097162E9</v>
      </c>
      <c r="I49" s="11">
        <v>10003.0</v>
      </c>
      <c r="J49" s="10" t="s">
        <v>93</v>
      </c>
      <c r="K49" s="10">
        <v>3.57925175973E11</v>
      </c>
      <c r="L49" s="11">
        <v>86.0</v>
      </c>
      <c r="M49" s="10" t="s">
        <v>286</v>
      </c>
      <c r="N49" s="10" t="s">
        <v>287</v>
      </c>
      <c r="Q49" s="2" t="s">
        <v>97</v>
      </c>
    </row>
    <row r="50">
      <c r="A50" s="2" t="s">
        <v>288</v>
      </c>
      <c r="B50" s="2" t="s">
        <v>89</v>
      </c>
      <c r="C50" s="10" t="s">
        <v>289</v>
      </c>
      <c r="D50" s="10" t="s">
        <v>120</v>
      </c>
      <c r="E50" s="10" t="s">
        <v>290</v>
      </c>
      <c r="F50" s="10" t="s">
        <v>65</v>
      </c>
      <c r="G50" s="11">
        <v>7256031.0</v>
      </c>
      <c r="H50" s="11">
        <v>9.342260663E9</v>
      </c>
      <c r="I50" s="11">
        <v>10003.0</v>
      </c>
      <c r="J50" s="10" t="s">
        <v>93</v>
      </c>
      <c r="K50" s="10">
        <v>5.76282289536E11</v>
      </c>
      <c r="L50" s="11">
        <v>100.0</v>
      </c>
      <c r="M50" s="10" t="s">
        <v>291</v>
      </c>
      <c r="Q50" s="2" t="s">
        <v>97</v>
      </c>
    </row>
    <row r="51">
      <c r="A51" s="2" t="s">
        <v>288</v>
      </c>
      <c r="B51" s="2" t="s">
        <v>89</v>
      </c>
      <c r="C51" s="10" t="s">
        <v>292</v>
      </c>
      <c r="D51" s="10" t="s">
        <v>293</v>
      </c>
      <c r="E51" s="10" t="s">
        <v>294</v>
      </c>
      <c r="F51" s="11">
        <v>6.366369301E9</v>
      </c>
      <c r="G51" s="11">
        <v>2.0435846E7</v>
      </c>
      <c r="H51" s="11">
        <v>8.095568255E9</v>
      </c>
      <c r="I51" s="11">
        <v>10003.0</v>
      </c>
      <c r="J51" s="10" t="s">
        <v>93</v>
      </c>
      <c r="K51" s="10">
        <v>2.77642112712E11</v>
      </c>
      <c r="L51" s="11">
        <v>86.0</v>
      </c>
      <c r="M51" s="10" t="s">
        <v>295</v>
      </c>
      <c r="N51" s="10" t="s">
        <v>296</v>
      </c>
    </row>
    <row r="52">
      <c r="A52" s="2" t="s">
        <v>288</v>
      </c>
      <c r="B52" s="2" t="s">
        <v>89</v>
      </c>
      <c r="C52" s="10" t="s">
        <v>297</v>
      </c>
      <c r="D52" s="10" t="s">
        <v>285</v>
      </c>
      <c r="E52" s="10" t="s">
        <v>165</v>
      </c>
      <c r="F52" s="10" t="s">
        <v>65</v>
      </c>
      <c r="G52" s="11">
        <v>1757421.0</v>
      </c>
      <c r="H52" s="11">
        <v>8.980097162E9</v>
      </c>
      <c r="I52" s="11">
        <v>10003.0</v>
      </c>
      <c r="J52" s="10" t="s">
        <v>93</v>
      </c>
      <c r="K52" s="10">
        <v>3.57925175973E11</v>
      </c>
      <c r="L52" s="11">
        <v>57.0</v>
      </c>
      <c r="M52" s="10" t="s">
        <v>298</v>
      </c>
      <c r="N52" s="10" t="s">
        <v>299</v>
      </c>
    </row>
    <row r="53">
      <c r="A53" s="10" t="s">
        <v>300</v>
      </c>
      <c r="B53" s="2" t="s">
        <v>89</v>
      </c>
      <c r="C53" s="10" t="s">
        <v>300</v>
      </c>
      <c r="D53" s="10" t="s">
        <v>176</v>
      </c>
      <c r="E53" s="10" t="s">
        <v>177</v>
      </c>
      <c r="F53" s="10" t="s">
        <v>68</v>
      </c>
      <c r="G53" s="11">
        <v>1.8839691E7</v>
      </c>
      <c r="H53" s="11">
        <v>8.095568255E9</v>
      </c>
      <c r="I53" s="11">
        <v>10003.0</v>
      </c>
      <c r="J53" s="10" t="s">
        <v>93</v>
      </c>
      <c r="K53" s="10">
        <v>9.1525048872E11</v>
      </c>
      <c r="L53" s="11">
        <v>58.0</v>
      </c>
      <c r="M53" s="10" t="s">
        <v>301</v>
      </c>
      <c r="O53" s="12"/>
    </row>
    <row r="54">
      <c r="A54" s="2" t="s">
        <v>302</v>
      </c>
      <c r="B54" s="2" t="s">
        <v>89</v>
      </c>
      <c r="C54" s="10" t="s">
        <v>303</v>
      </c>
      <c r="D54" s="10" t="s">
        <v>304</v>
      </c>
      <c r="E54" s="10" t="s">
        <v>305</v>
      </c>
      <c r="F54" s="11">
        <v>9.865643639E9</v>
      </c>
      <c r="G54" s="11">
        <v>7591285.0</v>
      </c>
      <c r="H54" s="11">
        <v>9.655791067E9</v>
      </c>
      <c r="I54" s="11">
        <v>10003.0</v>
      </c>
      <c r="J54" s="10" t="s">
        <v>93</v>
      </c>
      <c r="K54" s="10">
        <v>2.68708796853E11</v>
      </c>
      <c r="L54" s="11">
        <v>89.0</v>
      </c>
      <c r="M54" s="12"/>
      <c r="N54" s="12"/>
      <c r="O54" s="12"/>
    </row>
    <row r="55">
      <c r="A55" s="18" t="s">
        <v>302</v>
      </c>
      <c r="B55" s="18" t="s">
        <v>89</v>
      </c>
      <c r="C55" s="10" t="s">
        <v>302</v>
      </c>
      <c r="D55" s="19" t="s">
        <v>142</v>
      </c>
      <c r="E55" s="19" t="s">
        <v>142</v>
      </c>
      <c r="F55" s="19" t="s">
        <v>143</v>
      </c>
      <c r="G55" s="19" t="s">
        <v>143</v>
      </c>
      <c r="H55" s="19" t="s">
        <v>142</v>
      </c>
      <c r="I55" s="12"/>
      <c r="J55" s="12"/>
      <c r="K55" s="21"/>
      <c r="L55" s="11">
        <v>0.0</v>
      </c>
      <c r="M55" s="10" t="s">
        <v>144</v>
      </c>
      <c r="N55" s="12"/>
      <c r="O55" s="12"/>
    </row>
    <row r="56">
      <c r="A56" s="18" t="s">
        <v>302</v>
      </c>
      <c r="B56" s="18" t="s">
        <v>89</v>
      </c>
      <c r="C56" s="10" t="s">
        <v>306</v>
      </c>
      <c r="D56" s="19" t="s">
        <v>142</v>
      </c>
      <c r="E56" s="19" t="s">
        <v>142</v>
      </c>
      <c r="F56" s="19" t="s">
        <v>143</v>
      </c>
      <c r="G56" s="19" t="s">
        <v>143</v>
      </c>
      <c r="H56" s="19" t="s">
        <v>142</v>
      </c>
      <c r="I56" s="12"/>
      <c r="J56" s="12"/>
      <c r="K56" s="21"/>
      <c r="L56" s="11">
        <v>0.0</v>
      </c>
      <c r="M56" s="10" t="s">
        <v>144</v>
      </c>
      <c r="N56" s="12"/>
      <c r="O56" s="12"/>
    </row>
    <row r="57">
      <c r="A57" s="18" t="s">
        <v>302</v>
      </c>
      <c r="B57" s="18" t="s">
        <v>89</v>
      </c>
      <c r="C57" s="10" t="s">
        <v>307</v>
      </c>
      <c r="D57" s="19" t="s">
        <v>142</v>
      </c>
      <c r="E57" s="19" t="s">
        <v>142</v>
      </c>
      <c r="F57" s="19" t="s">
        <v>143</v>
      </c>
      <c r="G57" s="19" t="s">
        <v>143</v>
      </c>
      <c r="H57" s="19" t="s">
        <v>142</v>
      </c>
      <c r="I57" s="11"/>
      <c r="J57" s="10"/>
      <c r="K57" s="10"/>
      <c r="L57" s="11">
        <v>0.0</v>
      </c>
      <c r="M57" s="10"/>
      <c r="N57" s="10"/>
      <c r="O57" s="10"/>
    </row>
    <row r="58">
      <c r="A58" s="18" t="s">
        <v>302</v>
      </c>
      <c r="B58" s="18" t="s">
        <v>89</v>
      </c>
      <c r="C58" s="10" t="s">
        <v>308</v>
      </c>
      <c r="D58" s="19" t="s">
        <v>142</v>
      </c>
      <c r="E58" s="19" t="s">
        <v>142</v>
      </c>
      <c r="F58" s="19" t="s">
        <v>143</v>
      </c>
      <c r="G58" s="19" t="s">
        <v>143</v>
      </c>
      <c r="H58" s="19" t="s">
        <v>142</v>
      </c>
      <c r="I58" s="12"/>
      <c r="J58" s="12"/>
      <c r="K58" s="21"/>
      <c r="L58" s="11">
        <v>0.0</v>
      </c>
      <c r="M58" s="10" t="s">
        <v>144</v>
      </c>
      <c r="N58" s="12"/>
      <c r="O58" s="12"/>
    </row>
    <row r="59">
      <c r="A59" s="18" t="s">
        <v>288</v>
      </c>
      <c r="B59" s="18" t="s">
        <v>98</v>
      </c>
      <c r="C59" s="10" t="s">
        <v>309</v>
      </c>
      <c r="D59" s="19" t="s">
        <v>142</v>
      </c>
      <c r="E59" s="19" t="s">
        <v>142</v>
      </c>
      <c r="F59" s="19" t="s">
        <v>143</v>
      </c>
      <c r="G59" s="19" t="s">
        <v>143</v>
      </c>
      <c r="H59" s="19" t="s">
        <v>142</v>
      </c>
      <c r="I59" s="12"/>
      <c r="J59" s="12"/>
      <c r="K59" s="21"/>
      <c r="L59" s="11">
        <v>0.0</v>
      </c>
      <c r="M59" s="10" t="s">
        <v>144</v>
      </c>
      <c r="N59" s="12"/>
      <c r="O59" s="12"/>
    </row>
    <row r="60">
      <c r="A60" s="2" t="s">
        <v>288</v>
      </c>
      <c r="B60" s="2" t="s">
        <v>89</v>
      </c>
      <c r="C60" s="10" t="s">
        <v>310</v>
      </c>
      <c r="D60" s="10" t="s">
        <v>311</v>
      </c>
      <c r="E60" s="10" t="s">
        <v>290</v>
      </c>
      <c r="F60" s="10" t="s">
        <v>65</v>
      </c>
      <c r="G60" s="11">
        <v>7255753.0</v>
      </c>
      <c r="H60" s="11">
        <v>8.248092848E9</v>
      </c>
      <c r="I60" s="11">
        <v>10003.0</v>
      </c>
      <c r="J60" s="10" t="s">
        <v>93</v>
      </c>
      <c r="K60" s="10">
        <v>2.50500426708E11</v>
      </c>
      <c r="L60" s="11">
        <v>90.0</v>
      </c>
      <c r="M60" s="10" t="s">
        <v>312</v>
      </c>
      <c r="N60" s="10" t="s">
        <v>313</v>
      </c>
      <c r="Q60" s="2" t="s">
        <v>97</v>
      </c>
    </row>
    <row r="61">
      <c r="A61" s="2" t="s">
        <v>175</v>
      </c>
      <c r="C61" s="10" t="s">
        <v>314</v>
      </c>
      <c r="D61" s="20"/>
      <c r="E61" s="20"/>
      <c r="F61" s="20"/>
      <c r="G61" s="20"/>
      <c r="H61" s="12"/>
      <c r="I61" s="12"/>
      <c r="J61" s="12"/>
      <c r="K61" s="21"/>
      <c r="L61" s="11">
        <v>0.0</v>
      </c>
      <c r="M61" s="10" t="s">
        <v>144</v>
      </c>
      <c r="N61" s="12"/>
      <c r="O61" s="12"/>
    </row>
    <row r="62">
      <c r="F62" s="22"/>
      <c r="K62" s="23"/>
    </row>
    <row r="63">
      <c r="F63" s="22"/>
      <c r="K63" s="23"/>
    </row>
    <row r="64">
      <c r="F64" s="22"/>
      <c r="K64" s="23"/>
    </row>
    <row r="65">
      <c r="F65" s="22"/>
      <c r="K65" s="23"/>
    </row>
    <row r="66">
      <c r="F66" s="22"/>
      <c r="K66" s="23"/>
    </row>
    <row r="67">
      <c r="F67" s="22"/>
      <c r="K67" s="23"/>
    </row>
    <row r="68">
      <c r="F68" s="22"/>
      <c r="K68" s="23"/>
    </row>
    <row r="69">
      <c r="F69" s="22"/>
      <c r="K69" s="23"/>
    </row>
    <row r="70">
      <c r="F70" s="22"/>
      <c r="K70" s="23"/>
    </row>
    <row r="71">
      <c r="F71" s="22"/>
      <c r="K71" s="23"/>
    </row>
    <row r="72">
      <c r="F72" s="22"/>
      <c r="K72" s="23"/>
    </row>
    <row r="73">
      <c r="F73" s="22"/>
      <c r="K73" s="23"/>
    </row>
    <row r="74">
      <c r="F74" s="22"/>
      <c r="K74" s="23"/>
    </row>
    <row r="75">
      <c r="F75" s="22"/>
      <c r="K75" s="23"/>
    </row>
    <row r="76">
      <c r="F76" s="22"/>
      <c r="K76" s="23"/>
    </row>
    <row r="77">
      <c r="F77" s="22"/>
      <c r="K77" s="23"/>
    </row>
    <row r="78">
      <c r="F78" s="22"/>
      <c r="K78" s="23"/>
    </row>
    <row r="79">
      <c r="F79" s="22"/>
      <c r="K79" s="23"/>
    </row>
    <row r="80">
      <c r="F80" s="22"/>
      <c r="K80" s="23"/>
    </row>
    <row r="81">
      <c r="F81" s="22"/>
      <c r="K81" s="23"/>
    </row>
    <row r="82">
      <c r="F82" s="22"/>
      <c r="K82" s="23"/>
    </row>
    <row r="83">
      <c r="F83" s="22"/>
      <c r="K83" s="23"/>
    </row>
    <row r="84">
      <c r="F84" s="22"/>
      <c r="K84" s="23"/>
    </row>
    <row r="85">
      <c r="F85" s="22"/>
      <c r="K85" s="23"/>
    </row>
    <row r="86">
      <c r="F86" s="22"/>
      <c r="K86" s="23"/>
    </row>
    <row r="87">
      <c r="F87" s="22"/>
      <c r="K87" s="23"/>
    </row>
    <row r="88">
      <c r="F88" s="22"/>
      <c r="K88" s="23"/>
    </row>
    <row r="89">
      <c r="F89" s="22"/>
      <c r="K89" s="23"/>
    </row>
    <row r="90">
      <c r="F90" s="22"/>
      <c r="K90" s="23"/>
    </row>
    <row r="91">
      <c r="F91" s="22"/>
      <c r="K91" s="23"/>
    </row>
    <row r="92">
      <c r="F92" s="22"/>
      <c r="K92" s="23"/>
    </row>
    <row r="93">
      <c r="F93" s="22"/>
      <c r="K93" s="23"/>
    </row>
    <row r="94">
      <c r="F94" s="22"/>
      <c r="K94" s="23"/>
    </row>
    <row r="95">
      <c r="F95" s="22"/>
      <c r="K95" s="23"/>
    </row>
    <row r="96">
      <c r="F96" s="22"/>
      <c r="K96" s="23"/>
    </row>
    <row r="97">
      <c r="F97" s="22"/>
      <c r="K97" s="23"/>
    </row>
    <row r="98">
      <c r="F98" s="22"/>
      <c r="K98" s="23"/>
    </row>
    <row r="99">
      <c r="F99" s="22"/>
      <c r="K99" s="23"/>
    </row>
    <row r="100">
      <c r="F100" s="22"/>
      <c r="K100" s="23"/>
    </row>
    <row r="101">
      <c r="F101" s="22"/>
      <c r="K101" s="23"/>
    </row>
    <row r="102">
      <c r="F102" s="22"/>
      <c r="K102" s="23"/>
    </row>
    <row r="103">
      <c r="F103" s="22"/>
      <c r="K103" s="23"/>
    </row>
    <row r="104">
      <c r="F104" s="22"/>
      <c r="K104" s="23"/>
    </row>
    <row r="105">
      <c r="F105" s="22"/>
      <c r="K105" s="23"/>
    </row>
    <row r="106">
      <c r="F106" s="22"/>
      <c r="K106" s="23"/>
    </row>
    <row r="107">
      <c r="F107" s="22"/>
      <c r="K107" s="23"/>
    </row>
    <row r="108">
      <c r="F108" s="22"/>
      <c r="K108" s="23"/>
    </row>
    <row r="109">
      <c r="F109" s="22"/>
      <c r="K109" s="23"/>
    </row>
    <row r="110">
      <c r="F110" s="22"/>
      <c r="K110" s="23"/>
    </row>
    <row r="111">
      <c r="F111" s="22"/>
      <c r="K111" s="23"/>
    </row>
    <row r="112">
      <c r="F112" s="22"/>
      <c r="K112" s="23"/>
    </row>
    <row r="113">
      <c r="F113" s="22"/>
      <c r="K113" s="23"/>
    </row>
    <row r="114">
      <c r="F114" s="22"/>
      <c r="K114" s="23"/>
    </row>
    <row r="115">
      <c r="F115" s="22"/>
      <c r="K115" s="23"/>
    </row>
    <row r="116">
      <c r="F116" s="22"/>
      <c r="K116" s="23"/>
    </row>
    <row r="117">
      <c r="F117" s="22"/>
      <c r="K117" s="23"/>
    </row>
    <row r="118">
      <c r="F118" s="22"/>
      <c r="K118" s="23"/>
    </row>
    <row r="119">
      <c r="F119" s="22"/>
      <c r="K119" s="23"/>
    </row>
    <row r="120">
      <c r="F120" s="22"/>
      <c r="K120" s="23"/>
    </row>
    <row r="121">
      <c r="F121" s="22"/>
      <c r="K121" s="23"/>
    </row>
    <row r="122">
      <c r="F122" s="22"/>
      <c r="K122" s="23"/>
    </row>
    <row r="123">
      <c r="F123" s="22"/>
      <c r="K123" s="23"/>
    </row>
    <row r="124">
      <c r="F124" s="22"/>
      <c r="K124" s="23"/>
    </row>
    <row r="125">
      <c r="F125" s="22"/>
      <c r="K125" s="23"/>
    </row>
    <row r="126">
      <c r="F126" s="22"/>
      <c r="K126" s="23"/>
    </row>
    <row r="127">
      <c r="F127" s="22"/>
      <c r="K127" s="23"/>
    </row>
    <row r="128">
      <c r="F128" s="22"/>
      <c r="K128" s="23"/>
    </row>
    <row r="129">
      <c r="F129" s="22"/>
      <c r="K129" s="23"/>
    </row>
    <row r="130">
      <c r="F130" s="22"/>
      <c r="K130" s="23"/>
    </row>
    <row r="131">
      <c r="F131" s="22"/>
      <c r="K131" s="23"/>
    </row>
    <row r="132">
      <c r="F132" s="22"/>
      <c r="K132" s="23"/>
    </row>
    <row r="133">
      <c r="F133" s="22"/>
      <c r="K133" s="23"/>
    </row>
    <row r="134">
      <c r="F134" s="22"/>
      <c r="K134" s="23"/>
    </row>
    <row r="135">
      <c r="F135" s="22"/>
      <c r="K135" s="23"/>
    </row>
    <row r="136">
      <c r="F136" s="22"/>
      <c r="K136" s="23"/>
    </row>
    <row r="137">
      <c r="F137" s="22"/>
      <c r="K137" s="23"/>
    </row>
    <row r="138">
      <c r="F138" s="22"/>
      <c r="K138" s="23"/>
    </row>
    <row r="139">
      <c r="F139" s="22"/>
      <c r="K139" s="23"/>
    </row>
    <row r="140">
      <c r="F140" s="22"/>
      <c r="K140" s="23"/>
    </row>
    <row r="141">
      <c r="F141" s="22"/>
      <c r="K141" s="23"/>
    </row>
    <row r="142">
      <c r="F142" s="22"/>
      <c r="K142" s="23"/>
    </row>
    <row r="143">
      <c r="F143" s="22"/>
      <c r="K143" s="23"/>
    </row>
    <row r="144">
      <c r="F144" s="22"/>
      <c r="K144" s="23"/>
    </row>
    <row r="145">
      <c r="F145" s="22"/>
      <c r="K145" s="23"/>
    </row>
    <row r="146">
      <c r="F146" s="22"/>
      <c r="K146" s="23"/>
    </row>
    <row r="147">
      <c r="F147" s="22"/>
      <c r="K147" s="23"/>
    </row>
    <row r="148">
      <c r="F148" s="22"/>
      <c r="K148" s="23"/>
    </row>
    <row r="149">
      <c r="F149" s="22"/>
      <c r="K149" s="23"/>
    </row>
    <row r="150">
      <c r="F150" s="22"/>
      <c r="K150" s="23"/>
    </row>
    <row r="151">
      <c r="F151" s="22"/>
      <c r="K151" s="23"/>
    </row>
    <row r="152">
      <c r="F152" s="22"/>
      <c r="K152" s="23"/>
    </row>
    <row r="153">
      <c r="F153" s="22"/>
      <c r="K153" s="23"/>
    </row>
    <row r="154">
      <c r="F154" s="22"/>
      <c r="K154" s="23"/>
    </row>
    <row r="155">
      <c r="F155" s="22"/>
      <c r="K155" s="23"/>
    </row>
    <row r="156">
      <c r="F156" s="22"/>
      <c r="K156" s="23"/>
    </row>
    <row r="157">
      <c r="F157" s="22"/>
      <c r="K157" s="23"/>
    </row>
    <row r="158">
      <c r="F158" s="22"/>
      <c r="K158" s="23"/>
    </row>
    <row r="159">
      <c r="F159" s="22"/>
      <c r="K159" s="23"/>
    </row>
    <row r="160">
      <c r="F160" s="22"/>
      <c r="K160" s="23"/>
    </row>
    <row r="161">
      <c r="F161" s="22"/>
      <c r="K161" s="23"/>
    </row>
    <row r="162">
      <c r="F162" s="22"/>
      <c r="K162" s="23"/>
    </row>
    <row r="163">
      <c r="F163" s="22"/>
      <c r="K163" s="23"/>
    </row>
    <row r="164">
      <c r="F164" s="22"/>
      <c r="K164" s="23"/>
    </row>
    <row r="165">
      <c r="F165" s="22"/>
      <c r="K165" s="23"/>
    </row>
    <row r="166">
      <c r="F166" s="22"/>
      <c r="K166" s="23"/>
    </row>
    <row r="167">
      <c r="F167" s="22"/>
      <c r="K167" s="23"/>
    </row>
    <row r="168">
      <c r="F168" s="22"/>
      <c r="K168" s="23"/>
    </row>
    <row r="169">
      <c r="F169" s="22"/>
      <c r="K169" s="23"/>
    </row>
    <row r="170">
      <c r="F170" s="22"/>
      <c r="K170" s="23"/>
    </row>
    <row r="171">
      <c r="F171" s="22"/>
      <c r="K171" s="23"/>
    </row>
    <row r="172">
      <c r="F172" s="22"/>
      <c r="K172" s="23"/>
    </row>
    <row r="173">
      <c r="F173" s="22"/>
      <c r="K173" s="23"/>
    </row>
    <row r="174">
      <c r="F174" s="22"/>
      <c r="K174" s="23"/>
    </row>
    <row r="175">
      <c r="F175" s="22"/>
      <c r="K175" s="23"/>
    </row>
    <row r="176">
      <c r="F176" s="22"/>
      <c r="K176" s="23"/>
    </row>
    <row r="177">
      <c r="F177" s="22"/>
      <c r="K177" s="23"/>
    </row>
    <row r="178">
      <c r="F178" s="22"/>
      <c r="K178" s="23"/>
    </row>
    <row r="179">
      <c r="F179" s="22"/>
      <c r="K179" s="23"/>
    </row>
    <row r="180">
      <c r="F180" s="22"/>
      <c r="K180" s="23"/>
    </row>
    <row r="181">
      <c r="F181" s="22"/>
      <c r="K181" s="23"/>
    </row>
    <row r="182">
      <c r="F182" s="22"/>
      <c r="K182" s="23"/>
    </row>
    <row r="183">
      <c r="F183" s="22"/>
      <c r="K183" s="23"/>
    </row>
    <row r="184">
      <c r="F184" s="22"/>
      <c r="K184" s="23"/>
    </row>
    <row r="185">
      <c r="F185" s="22"/>
      <c r="K185" s="23"/>
    </row>
    <row r="186">
      <c r="F186" s="22"/>
      <c r="K186" s="23"/>
    </row>
    <row r="187">
      <c r="F187" s="22"/>
      <c r="K187" s="23"/>
    </row>
    <row r="188">
      <c r="F188" s="22"/>
      <c r="K188" s="23"/>
    </row>
    <row r="189">
      <c r="F189" s="22"/>
      <c r="K189" s="23"/>
    </row>
    <row r="190">
      <c r="F190" s="22"/>
      <c r="K190" s="23"/>
    </row>
    <row r="191">
      <c r="F191" s="22"/>
      <c r="K191" s="23"/>
    </row>
    <row r="192">
      <c r="F192" s="22"/>
      <c r="K192" s="23"/>
    </row>
    <row r="193">
      <c r="F193" s="22"/>
      <c r="K193" s="23"/>
    </row>
    <row r="194">
      <c r="F194" s="22"/>
      <c r="K194" s="23"/>
    </row>
    <row r="195">
      <c r="F195" s="22"/>
      <c r="K195" s="23"/>
    </row>
    <row r="196">
      <c r="F196" s="22"/>
      <c r="K196" s="23"/>
    </row>
    <row r="197">
      <c r="F197" s="22"/>
      <c r="K197" s="23"/>
    </row>
    <row r="198">
      <c r="F198" s="22"/>
      <c r="K198" s="23"/>
    </row>
    <row r="199">
      <c r="F199" s="22"/>
      <c r="K199" s="23"/>
    </row>
    <row r="200">
      <c r="F200" s="22"/>
      <c r="K200" s="23"/>
    </row>
    <row r="201">
      <c r="F201" s="22"/>
      <c r="K201" s="23"/>
    </row>
    <row r="202">
      <c r="F202" s="22"/>
      <c r="K202" s="23"/>
    </row>
    <row r="203">
      <c r="F203" s="22"/>
      <c r="K203" s="23"/>
    </row>
    <row r="204">
      <c r="F204" s="22"/>
      <c r="K204" s="23"/>
    </row>
    <row r="205">
      <c r="F205" s="22"/>
      <c r="K205" s="23"/>
    </row>
    <row r="206">
      <c r="F206" s="22"/>
      <c r="K206" s="23"/>
    </row>
    <row r="207">
      <c r="F207" s="22"/>
      <c r="K207" s="23"/>
    </row>
    <row r="208">
      <c r="F208" s="22"/>
      <c r="K208" s="23"/>
    </row>
    <row r="209">
      <c r="F209" s="22"/>
      <c r="K209" s="23"/>
    </row>
    <row r="210">
      <c r="F210" s="22"/>
      <c r="K210" s="23"/>
    </row>
    <row r="211">
      <c r="F211" s="22"/>
      <c r="K211" s="23"/>
    </row>
    <row r="212">
      <c r="F212" s="22"/>
      <c r="K212" s="23"/>
    </row>
    <row r="213">
      <c r="F213" s="22"/>
      <c r="K213" s="23"/>
    </row>
    <row r="214">
      <c r="F214" s="22"/>
      <c r="K214" s="23"/>
    </row>
    <row r="215">
      <c r="F215" s="22"/>
      <c r="K215" s="23"/>
    </row>
    <row r="216">
      <c r="F216" s="22"/>
      <c r="K216" s="23"/>
    </row>
    <row r="217">
      <c r="F217" s="22"/>
      <c r="K217" s="23"/>
    </row>
    <row r="218">
      <c r="F218" s="22"/>
      <c r="K218" s="23"/>
    </row>
    <row r="219">
      <c r="F219" s="22"/>
      <c r="K219" s="23"/>
    </row>
    <row r="220">
      <c r="F220" s="22"/>
      <c r="K220" s="23"/>
    </row>
    <row r="221">
      <c r="F221" s="22"/>
      <c r="K221" s="23"/>
    </row>
    <row r="222">
      <c r="F222" s="22"/>
      <c r="K222" s="23"/>
    </row>
    <row r="223">
      <c r="F223" s="22"/>
      <c r="K223" s="23"/>
    </row>
    <row r="224">
      <c r="F224" s="22"/>
      <c r="K224" s="23"/>
    </row>
    <row r="225">
      <c r="F225" s="22"/>
      <c r="K225" s="23"/>
    </row>
    <row r="226">
      <c r="F226" s="22"/>
      <c r="K226" s="23"/>
    </row>
    <row r="227">
      <c r="F227" s="22"/>
      <c r="K227" s="23"/>
    </row>
    <row r="228">
      <c r="F228" s="22"/>
      <c r="K228" s="23"/>
    </row>
    <row r="229">
      <c r="F229" s="22"/>
      <c r="K229" s="23"/>
    </row>
    <row r="230">
      <c r="F230" s="22"/>
      <c r="K230" s="23"/>
    </row>
    <row r="231">
      <c r="F231" s="22"/>
      <c r="K231" s="23"/>
    </row>
    <row r="232">
      <c r="F232" s="22"/>
      <c r="K232" s="23"/>
    </row>
    <row r="233">
      <c r="F233" s="22"/>
      <c r="K233" s="23"/>
    </row>
    <row r="234">
      <c r="F234" s="22"/>
      <c r="K234" s="23"/>
    </row>
    <row r="235">
      <c r="F235" s="22"/>
      <c r="K235" s="23"/>
    </row>
    <row r="236">
      <c r="F236" s="22"/>
      <c r="K236" s="23"/>
    </row>
    <row r="237">
      <c r="F237" s="22"/>
      <c r="K237" s="23"/>
    </row>
    <row r="238">
      <c r="F238" s="22"/>
      <c r="K238" s="23"/>
    </row>
    <row r="239">
      <c r="F239" s="22"/>
      <c r="K239" s="23"/>
    </row>
    <row r="240">
      <c r="F240" s="22"/>
      <c r="K240" s="23"/>
    </row>
    <row r="241">
      <c r="F241" s="22"/>
      <c r="K241" s="23"/>
    </row>
    <row r="242">
      <c r="F242" s="22"/>
      <c r="K242" s="23"/>
    </row>
    <row r="243">
      <c r="F243" s="22"/>
      <c r="K243" s="23"/>
    </row>
    <row r="244">
      <c r="F244" s="22"/>
      <c r="K244" s="23"/>
    </row>
    <row r="245">
      <c r="F245" s="22"/>
      <c r="K245" s="23"/>
    </row>
    <row r="246">
      <c r="F246" s="22"/>
      <c r="K246" s="23"/>
    </row>
    <row r="247">
      <c r="F247" s="22"/>
      <c r="K247" s="23"/>
    </row>
    <row r="248">
      <c r="F248" s="22"/>
      <c r="K248" s="23"/>
    </row>
    <row r="249">
      <c r="F249" s="22"/>
      <c r="K249" s="23"/>
    </row>
    <row r="250">
      <c r="F250" s="22"/>
      <c r="K250" s="23"/>
    </row>
    <row r="251">
      <c r="F251" s="22"/>
      <c r="K251" s="23"/>
    </row>
    <row r="252">
      <c r="F252" s="22"/>
      <c r="K252" s="23"/>
    </row>
    <row r="253">
      <c r="F253" s="22"/>
      <c r="K253" s="23"/>
    </row>
    <row r="254">
      <c r="F254" s="22"/>
      <c r="K254" s="23"/>
    </row>
    <row r="255">
      <c r="F255" s="22"/>
      <c r="K255" s="23"/>
    </row>
    <row r="256">
      <c r="F256" s="22"/>
      <c r="K256" s="23"/>
    </row>
    <row r="257">
      <c r="F257" s="22"/>
      <c r="K257" s="23"/>
    </row>
    <row r="258">
      <c r="F258" s="22"/>
      <c r="K258" s="23"/>
    </row>
    <row r="259">
      <c r="F259" s="22"/>
      <c r="K259" s="23"/>
    </row>
    <row r="260">
      <c r="F260" s="22"/>
      <c r="K260" s="23"/>
    </row>
    <row r="261">
      <c r="F261" s="22"/>
      <c r="K261" s="23"/>
    </row>
    <row r="262">
      <c r="F262" s="22"/>
      <c r="K262" s="23"/>
    </row>
    <row r="263">
      <c r="F263" s="22"/>
      <c r="K263" s="23"/>
    </row>
    <row r="264">
      <c r="F264" s="22"/>
      <c r="K264" s="23"/>
    </row>
    <row r="265">
      <c r="F265" s="22"/>
      <c r="K265" s="23"/>
    </row>
    <row r="266">
      <c r="F266" s="22"/>
      <c r="K266" s="23"/>
    </row>
    <row r="267">
      <c r="F267" s="22"/>
      <c r="K267" s="23"/>
    </row>
    <row r="268">
      <c r="F268" s="22"/>
      <c r="K268" s="23"/>
    </row>
    <row r="269">
      <c r="F269" s="22"/>
      <c r="K269" s="23"/>
    </row>
    <row r="270">
      <c r="F270" s="22"/>
      <c r="K270" s="23"/>
    </row>
    <row r="271">
      <c r="F271" s="22"/>
      <c r="K271" s="23"/>
    </row>
    <row r="272">
      <c r="F272" s="22"/>
      <c r="K272" s="23"/>
    </row>
    <row r="273">
      <c r="F273" s="22"/>
      <c r="K273" s="23"/>
    </row>
    <row r="274">
      <c r="F274" s="22"/>
      <c r="K274" s="23"/>
    </row>
    <row r="275">
      <c r="F275" s="22"/>
      <c r="K275" s="23"/>
    </row>
    <row r="276">
      <c r="F276" s="22"/>
      <c r="K276" s="23"/>
    </row>
    <row r="277">
      <c r="F277" s="22"/>
      <c r="K277" s="23"/>
    </row>
    <row r="278">
      <c r="F278" s="22"/>
      <c r="K278" s="23"/>
    </row>
    <row r="279">
      <c r="F279" s="22"/>
      <c r="K279" s="23"/>
    </row>
    <row r="280">
      <c r="F280" s="22"/>
      <c r="K280" s="23"/>
    </row>
    <row r="281">
      <c r="F281" s="22"/>
      <c r="K281" s="23"/>
    </row>
    <row r="282">
      <c r="F282" s="22"/>
      <c r="K282" s="23"/>
    </row>
    <row r="283">
      <c r="F283" s="22"/>
      <c r="K283" s="23"/>
    </row>
    <row r="284">
      <c r="F284" s="22"/>
      <c r="K284" s="23"/>
    </row>
    <row r="285">
      <c r="F285" s="22"/>
      <c r="K285" s="23"/>
    </row>
    <row r="286">
      <c r="F286" s="22"/>
      <c r="K286" s="23"/>
    </row>
    <row r="287">
      <c r="F287" s="22"/>
      <c r="K287" s="23"/>
    </row>
    <row r="288">
      <c r="F288" s="22"/>
      <c r="K288" s="23"/>
    </row>
    <row r="289">
      <c r="F289" s="22"/>
      <c r="K289" s="23"/>
    </row>
    <row r="290">
      <c r="F290" s="22"/>
      <c r="K290" s="23"/>
    </row>
    <row r="291">
      <c r="F291" s="22"/>
      <c r="K291" s="23"/>
    </row>
    <row r="292">
      <c r="F292" s="22"/>
      <c r="K292" s="23"/>
    </row>
    <row r="293">
      <c r="F293" s="22"/>
      <c r="K293" s="23"/>
    </row>
    <row r="294">
      <c r="F294" s="22"/>
      <c r="K294" s="23"/>
    </row>
    <row r="295">
      <c r="F295" s="22"/>
      <c r="K295" s="23"/>
    </row>
    <row r="296">
      <c r="F296" s="22"/>
      <c r="K296" s="23"/>
    </row>
    <row r="297">
      <c r="F297" s="22"/>
      <c r="K297" s="23"/>
    </row>
    <row r="298">
      <c r="F298" s="22"/>
      <c r="K298" s="23"/>
    </row>
    <row r="299">
      <c r="F299" s="22"/>
      <c r="K299" s="23"/>
    </row>
    <row r="300">
      <c r="F300" s="22"/>
      <c r="K300" s="23"/>
    </row>
    <row r="301">
      <c r="F301" s="22"/>
      <c r="K301" s="23"/>
    </row>
    <row r="302">
      <c r="F302" s="22"/>
      <c r="K302" s="23"/>
    </row>
    <row r="303">
      <c r="F303" s="22"/>
      <c r="K303" s="23"/>
    </row>
    <row r="304">
      <c r="F304" s="22"/>
      <c r="K304" s="23"/>
    </row>
    <row r="305">
      <c r="F305" s="22"/>
      <c r="K305" s="23"/>
    </row>
    <row r="306">
      <c r="F306" s="22"/>
      <c r="K306" s="23"/>
    </row>
    <row r="307">
      <c r="F307" s="22"/>
      <c r="K307" s="23"/>
    </row>
    <row r="308">
      <c r="F308" s="22"/>
      <c r="K308" s="23"/>
    </row>
    <row r="309">
      <c r="F309" s="22"/>
      <c r="K309" s="23"/>
    </row>
    <row r="310">
      <c r="F310" s="22"/>
      <c r="K310" s="23"/>
    </row>
    <row r="311">
      <c r="F311" s="22"/>
      <c r="K311" s="23"/>
    </row>
    <row r="312">
      <c r="F312" s="22"/>
      <c r="K312" s="23"/>
    </row>
    <row r="313">
      <c r="F313" s="22"/>
      <c r="K313" s="23"/>
    </row>
    <row r="314">
      <c r="F314" s="22"/>
      <c r="K314" s="23"/>
    </row>
    <row r="315">
      <c r="F315" s="22"/>
      <c r="K315" s="23"/>
    </row>
    <row r="316">
      <c r="F316" s="22"/>
      <c r="K316" s="23"/>
    </row>
    <row r="317">
      <c r="F317" s="22"/>
      <c r="K317" s="23"/>
    </row>
    <row r="318">
      <c r="F318" s="22"/>
      <c r="K318" s="23"/>
    </row>
    <row r="319">
      <c r="F319" s="22"/>
      <c r="K319" s="23"/>
    </row>
    <row r="320">
      <c r="F320" s="22"/>
      <c r="K320" s="23"/>
    </row>
    <row r="321">
      <c r="F321" s="22"/>
      <c r="K321" s="23"/>
    </row>
    <row r="322">
      <c r="F322" s="22"/>
      <c r="K322" s="23"/>
    </row>
    <row r="323">
      <c r="F323" s="22"/>
      <c r="K323" s="23"/>
    </row>
    <row r="324">
      <c r="F324" s="22"/>
      <c r="K324" s="23"/>
    </row>
    <row r="325">
      <c r="F325" s="22"/>
      <c r="K325" s="23"/>
    </row>
    <row r="326">
      <c r="F326" s="22"/>
      <c r="K326" s="23"/>
    </row>
    <row r="327">
      <c r="F327" s="22"/>
      <c r="K327" s="23"/>
    </row>
    <row r="328">
      <c r="F328" s="22"/>
      <c r="K328" s="23"/>
    </row>
    <row r="329">
      <c r="F329" s="22"/>
      <c r="K329" s="23"/>
    </row>
    <row r="330">
      <c r="F330" s="22"/>
      <c r="K330" s="23"/>
    </row>
    <row r="331">
      <c r="F331" s="22"/>
      <c r="K331" s="23"/>
    </row>
    <row r="332">
      <c r="F332" s="22"/>
      <c r="K332" s="23"/>
    </row>
    <row r="333">
      <c r="F333" s="22"/>
      <c r="K333" s="23"/>
    </row>
    <row r="334">
      <c r="F334" s="22"/>
      <c r="K334" s="23"/>
    </row>
    <row r="335">
      <c r="F335" s="22"/>
      <c r="K335" s="23"/>
    </row>
    <row r="336">
      <c r="F336" s="22"/>
      <c r="K336" s="23"/>
    </row>
    <row r="337">
      <c r="F337" s="22"/>
      <c r="K337" s="23"/>
    </row>
    <row r="338">
      <c r="F338" s="22"/>
      <c r="K338" s="23"/>
    </row>
    <row r="339">
      <c r="F339" s="22"/>
      <c r="K339" s="23"/>
    </row>
    <row r="340">
      <c r="F340" s="22"/>
      <c r="K340" s="23"/>
    </row>
    <row r="341">
      <c r="F341" s="22"/>
      <c r="K341" s="23"/>
    </row>
    <row r="342">
      <c r="F342" s="22"/>
      <c r="K342" s="23"/>
    </row>
    <row r="343">
      <c r="F343" s="22"/>
      <c r="K343" s="23"/>
    </row>
    <row r="344">
      <c r="F344" s="22"/>
      <c r="K344" s="23"/>
    </row>
    <row r="345">
      <c r="F345" s="22"/>
      <c r="K345" s="23"/>
    </row>
    <row r="346">
      <c r="F346" s="22"/>
      <c r="K346" s="23"/>
    </row>
    <row r="347">
      <c r="F347" s="22"/>
      <c r="K347" s="23"/>
    </row>
    <row r="348">
      <c r="F348" s="22"/>
      <c r="K348" s="23"/>
    </row>
    <row r="349">
      <c r="F349" s="22"/>
      <c r="K349" s="23"/>
    </row>
    <row r="350">
      <c r="F350" s="22"/>
      <c r="K350" s="23"/>
    </row>
    <row r="351">
      <c r="F351" s="22"/>
      <c r="K351" s="23"/>
    </row>
    <row r="352">
      <c r="F352" s="22"/>
      <c r="K352" s="23"/>
    </row>
    <row r="353">
      <c r="F353" s="22"/>
      <c r="K353" s="23"/>
    </row>
    <row r="354">
      <c r="F354" s="22"/>
      <c r="K354" s="23"/>
    </row>
    <row r="355">
      <c r="F355" s="22"/>
      <c r="K355" s="23"/>
    </row>
    <row r="356">
      <c r="F356" s="22"/>
      <c r="K356" s="23"/>
    </row>
    <row r="357">
      <c r="F357" s="22"/>
      <c r="K357" s="23"/>
    </row>
    <row r="358">
      <c r="F358" s="22"/>
      <c r="K358" s="23"/>
    </row>
    <row r="359">
      <c r="F359" s="22"/>
      <c r="K359" s="23"/>
    </row>
    <row r="360">
      <c r="F360" s="22"/>
      <c r="K360" s="23"/>
    </row>
    <row r="361">
      <c r="F361" s="22"/>
      <c r="K361" s="23"/>
    </row>
    <row r="362">
      <c r="F362" s="22"/>
      <c r="K362" s="23"/>
    </row>
    <row r="363">
      <c r="F363" s="22"/>
      <c r="K363" s="23"/>
    </row>
    <row r="364">
      <c r="F364" s="22"/>
      <c r="K364" s="23"/>
    </row>
    <row r="365">
      <c r="F365" s="22"/>
      <c r="K365" s="23"/>
    </row>
    <row r="366">
      <c r="F366" s="22"/>
      <c r="K366" s="23"/>
    </row>
    <row r="367">
      <c r="F367" s="22"/>
      <c r="K367" s="23"/>
    </row>
    <row r="368">
      <c r="F368" s="22"/>
      <c r="K368" s="23"/>
    </row>
    <row r="369">
      <c r="F369" s="22"/>
      <c r="K369" s="23"/>
    </row>
    <row r="370">
      <c r="F370" s="22"/>
      <c r="K370" s="23"/>
    </row>
    <row r="371">
      <c r="F371" s="22"/>
      <c r="K371" s="23"/>
    </row>
    <row r="372">
      <c r="F372" s="22"/>
      <c r="K372" s="23"/>
    </row>
    <row r="373">
      <c r="F373" s="22"/>
      <c r="K373" s="23"/>
    </row>
    <row r="374">
      <c r="F374" s="22"/>
      <c r="K374" s="23"/>
    </row>
    <row r="375">
      <c r="F375" s="22"/>
      <c r="K375" s="23"/>
    </row>
    <row r="376">
      <c r="F376" s="22"/>
      <c r="K376" s="23"/>
    </row>
    <row r="377">
      <c r="F377" s="22"/>
      <c r="K377" s="23"/>
    </row>
    <row r="378">
      <c r="F378" s="22"/>
      <c r="K378" s="23"/>
    </row>
    <row r="379">
      <c r="F379" s="22"/>
      <c r="K379" s="23"/>
    </row>
    <row r="380">
      <c r="F380" s="22"/>
      <c r="K380" s="23"/>
    </row>
    <row r="381">
      <c r="F381" s="22"/>
      <c r="K381" s="23"/>
    </row>
    <row r="382">
      <c r="F382" s="22"/>
      <c r="K382" s="23"/>
    </row>
    <row r="383">
      <c r="F383" s="22"/>
      <c r="K383" s="23"/>
    </row>
    <row r="384">
      <c r="F384" s="22"/>
      <c r="K384" s="23"/>
    </row>
    <row r="385">
      <c r="F385" s="22"/>
      <c r="K385" s="23"/>
    </row>
    <row r="386">
      <c r="F386" s="22"/>
      <c r="K386" s="23"/>
    </row>
    <row r="387">
      <c r="F387" s="22"/>
      <c r="K387" s="23"/>
    </row>
    <row r="388">
      <c r="F388" s="22"/>
      <c r="K388" s="23"/>
    </row>
    <row r="389">
      <c r="F389" s="22"/>
      <c r="K389" s="23"/>
    </row>
    <row r="390">
      <c r="F390" s="22"/>
      <c r="K390" s="23"/>
    </row>
    <row r="391">
      <c r="F391" s="22"/>
      <c r="K391" s="23"/>
    </row>
    <row r="392">
      <c r="F392" s="22"/>
      <c r="K392" s="23"/>
    </row>
    <row r="393">
      <c r="F393" s="22"/>
      <c r="K393" s="23"/>
    </row>
    <row r="394">
      <c r="F394" s="22"/>
      <c r="K394" s="23"/>
    </row>
    <row r="395">
      <c r="F395" s="22"/>
      <c r="K395" s="23"/>
    </row>
    <row r="396">
      <c r="F396" s="22"/>
      <c r="K396" s="23"/>
    </row>
    <row r="397">
      <c r="F397" s="22"/>
      <c r="K397" s="23"/>
    </row>
    <row r="398">
      <c r="F398" s="22"/>
      <c r="K398" s="23"/>
    </row>
    <row r="399">
      <c r="F399" s="22"/>
      <c r="K399" s="23"/>
    </row>
    <row r="400">
      <c r="F400" s="22"/>
      <c r="K400" s="23"/>
    </row>
    <row r="401">
      <c r="F401" s="22"/>
      <c r="K401" s="23"/>
    </row>
    <row r="402">
      <c r="F402" s="22"/>
      <c r="K402" s="23"/>
    </row>
    <row r="403">
      <c r="F403" s="22"/>
      <c r="K403" s="23"/>
    </row>
    <row r="404">
      <c r="F404" s="22"/>
      <c r="K404" s="23"/>
    </row>
    <row r="405">
      <c r="F405" s="22"/>
      <c r="K405" s="23"/>
    </row>
    <row r="406">
      <c r="F406" s="22"/>
      <c r="K406" s="23"/>
    </row>
    <row r="407">
      <c r="F407" s="22"/>
      <c r="K407" s="23"/>
    </row>
    <row r="408">
      <c r="F408" s="22"/>
      <c r="K408" s="23"/>
    </row>
    <row r="409">
      <c r="F409" s="22"/>
      <c r="K409" s="23"/>
    </row>
    <row r="410">
      <c r="F410" s="22"/>
      <c r="K410" s="23"/>
    </row>
    <row r="411">
      <c r="F411" s="22"/>
      <c r="K411" s="23"/>
    </row>
    <row r="412">
      <c r="F412" s="22"/>
      <c r="K412" s="23"/>
    </row>
    <row r="413">
      <c r="F413" s="22"/>
      <c r="K413" s="23"/>
    </row>
    <row r="414">
      <c r="F414" s="22"/>
      <c r="K414" s="23"/>
    </row>
    <row r="415">
      <c r="F415" s="22"/>
      <c r="K415" s="23"/>
    </row>
    <row r="416">
      <c r="F416" s="22"/>
      <c r="K416" s="23"/>
    </row>
    <row r="417">
      <c r="F417" s="22"/>
      <c r="K417" s="23"/>
    </row>
    <row r="418">
      <c r="F418" s="22"/>
      <c r="K418" s="23"/>
    </row>
    <row r="419">
      <c r="F419" s="22"/>
      <c r="K419" s="23"/>
    </row>
    <row r="420">
      <c r="F420" s="22"/>
      <c r="K420" s="23"/>
    </row>
    <row r="421">
      <c r="F421" s="22"/>
      <c r="K421" s="23"/>
    </row>
    <row r="422">
      <c r="F422" s="22"/>
      <c r="K422" s="23"/>
    </row>
    <row r="423">
      <c r="F423" s="22"/>
      <c r="K423" s="23"/>
    </row>
    <row r="424">
      <c r="F424" s="22"/>
      <c r="K424" s="23"/>
    </row>
    <row r="425">
      <c r="F425" s="22"/>
      <c r="K425" s="23"/>
    </row>
    <row r="426">
      <c r="F426" s="22"/>
      <c r="K426" s="23"/>
    </row>
    <row r="427">
      <c r="F427" s="22"/>
      <c r="K427" s="23"/>
    </row>
    <row r="428">
      <c r="F428" s="22"/>
      <c r="K428" s="23"/>
    </row>
    <row r="429">
      <c r="F429" s="22"/>
      <c r="K429" s="23"/>
    </row>
    <row r="430">
      <c r="F430" s="22"/>
      <c r="K430" s="23"/>
    </row>
    <row r="431">
      <c r="F431" s="22"/>
      <c r="K431" s="23"/>
    </row>
    <row r="432">
      <c r="F432" s="22"/>
      <c r="K432" s="23"/>
    </row>
    <row r="433">
      <c r="F433" s="22"/>
      <c r="K433" s="23"/>
    </row>
    <row r="434">
      <c r="F434" s="22"/>
      <c r="K434" s="23"/>
    </row>
    <row r="435">
      <c r="F435" s="22"/>
      <c r="K435" s="23"/>
    </row>
    <row r="436">
      <c r="F436" s="22"/>
      <c r="K436" s="23"/>
    </row>
    <row r="437">
      <c r="F437" s="22"/>
      <c r="K437" s="23"/>
    </row>
    <row r="438">
      <c r="F438" s="22"/>
      <c r="K438" s="23"/>
    </row>
    <row r="439">
      <c r="F439" s="22"/>
      <c r="K439" s="23"/>
    </row>
    <row r="440">
      <c r="F440" s="22"/>
      <c r="K440" s="23"/>
    </row>
    <row r="441">
      <c r="F441" s="22"/>
      <c r="K441" s="23"/>
    </row>
    <row r="442">
      <c r="F442" s="22"/>
      <c r="K442" s="23"/>
    </row>
    <row r="443">
      <c r="F443" s="22"/>
      <c r="K443" s="23"/>
    </row>
    <row r="444">
      <c r="F444" s="22"/>
      <c r="K444" s="23"/>
    </row>
    <row r="445">
      <c r="F445" s="22"/>
      <c r="K445" s="23"/>
    </row>
    <row r="446">
      <c r="F446" s="22"/>
      <c r="K446" s="23"/>
    </row>
    <row r="447">
      <c r="F447" s="22"/>
      <c r="K447" s="23"/>
    </row>
    <row r="448">
      <c r="F448" s="22"/>
      <c r="K448" s="23"/>
    </row>
    <row r="449">
      <c r="F449" s="22"/>
      <c r="K449" s="23"/>
    </row>
    <row r="450">
      <c r="F450" s="22"/>
      <c r="K450" s="23"/>
    </row>
    <row r="451">
      <c r="F451" s="22"/>
      <c r="K451" s="23"/>
    </row>
    <row r="452">
      <c r="F452" s="22"/>
      <c r="K452" s="23"/>
    </row>
    <row r="453">
      <c r="F453" s="22"/>
      <c r="K453" s="23"/>
    </row>
    <row r="454">
      <c r="F454" s="22"/>
      <c r="K454" s="23"/>
    </row>
    <row r="455">
      <c r="F455" s="22"/>
      <c r="K455" s="23"/>
    </row>
    <row r="456">
      <c r="F456" s="22"/>
      <c r="K456" s="23"/>
    </row>
    <row r="457">
      <c r="F457" s="22"/>
      <c r="K457" s="23"/>
    </row>
    <row r="458">
      <c r="F458" s="22"/>
      <c r="K458" s="23"/>
    </row>
    <row r="459">
      <c r="F459" s="22"/>
      <c r="K459" s="23"/>
    </row>
    <row r="460">
      <c r="F460" s="22"/>
      <c r="K460" s="23"/>
    </row>
    <row r="461">
      <c r="F461" s="22"/>
      <c r="K461" s="23"/>
    </row>
    <row r="462">
      <c r="F462" s="22"/>
      <c r="K462" s="23"/>
    </row>
    <row r="463">
      <c r="F463" s="22"/>
      <c r="K463" s="23"/>
    </row>
    <row r="464">
      <c r="F464" s="22"/>
      <c r="K464" s="23"/>
    </row>
    <row r="465">
      <c r="F465" s="22"/>
      <c r="K465" s="23"/>
    </row>
    <row r="466">
      <c r="F466" s="22"/>
      <c r="K466" s="23"/>
    </row>
    <row r="467">
      <c r="F467" s="22"/>
      <c r="K467" s="23"/>
    </row>
    <row r="468">
      <c r="F468" s="22"/>
      <c r="K468" s="23"/>
    </row>
    <row r="469">
      <c r="F469" s="22"/>
      <c r="K469" s="23"/>
    </row>
    <row r="470">
      <c r="F470" s="22"/>
      <c r="K470" s="23"/>
    </row>
    <row r="471">
      <c r="F471" s="22"/>
      <c r="K471" s="23"/>
    </row>
    <row r="472">
      <c r="F472" s="22"/>
      <c r="K472" s="23"/>
    </row>
    <row r="473">
      <c r="F473" s="22"/>
      <c r="K473" s="23"/>
    </row>
    <row r="474">
      <c r="F474" s="22"/>
      <c r="K474" s="23"/>
    </row>
    <row r="475">
      <c r="F475" s="22"/>
      <c r="K475" s="23"/>
    </row>
    <row r="476">
      <c r="F476" s="22"/>
      <c r="K476" s="23"/>
    </row>
    <row r="477">
      <c r="F477" s="22"/>
      <c r="K477" s="23"/>
    </row>
    <row r="478">
      <c r="F478" s="22"/>
      <c r="K478" s="23"/>
    </row>
    <row r="479">
      <c r="F479" s="22"/>
      <c r="K479" s="23"/>
    </row>
    <row r="480">
      <c r="F480" s="22"/>
      <c r="K480" s="23"/>
    </row>
    <row r="481">
      <c r="F481" s="22"/>
      <c r="K481" s="23"/>
    </row>
    <row r="482">
      <c r="F482" s="22"/>
      <c r="K482" s="23"/>
    </row>
    <row r="483">
      <c r="F483" s="22"/>
      <c r="K483" s="23"/>
    </row>
    <row r="484">
      <c r="F484" s="22"/>
      <c r="K484" s="23"/>
    </row>
    <row r="485">
      <c r="F485" s="22"/>
      <c r="K485" s="23"/>
    </row>
    <row r="486">
      <c r="F486" s="22"/>
      <c r="K486" s="23"/>
    </row>
    <row r="487">
      <c r="F487" s="22"/>
      <c r="K487" s="23"/>
    </row>
    <row r="488">
      <c r="F488" s="22"/>
      <c r="K488" s="23"/>
    </row>
    <row r="489">
      <c r="F489" s="22"/>
      <c r="K489" s="23"/>
    </row>
    <row r="490">
      <c r="F490" s="22"/>
      <c r="K490" s="23"/>
    </row>
    <row r="491">
      <c r="F491" s="22"/>
      <c r="K491" s="23"/>
    </row>
    <row r="492">
      <c r="F492" s="22"/>
      <c r="K492" s="23"/>
    </row>
    <row r="493">
      <c r="F493" s="22"/>
      <c r="K493" s="23"/>
    </row>
    <row r="494">
      <c r="F494" s="22"/>
      <c r="K494" s="23"/>
    </row>
    <row r="495">
      <c r="F495" s="22"/>
      <c r="K495" s="23"/>
    </row>
    <row r="496">
      <c r="F496" s="22"/>
      <c r="K496" s="23"/>
    </row>
    <row r="497">
      <c r="F497" s="22"/>
      <c r="K497" s="23"/>
    </row>
    <row r="498">
      <c r="F498" s="22"/>
      <c r="K498" s="23"/>
    </row>
    <row r="499">
      <c r="F499" s="22"/>
      <c r="K499" s="23"/>
    </row>
    <row r="500">
      <c r="F500" s="22"/>
      <c r="K500" s="23"/>
    </row>
    <row r="501">
      <c r="F501" s="22"/>
      <c r="K501" s="23"/>
    </row>
    <row r="502">
      <c r="F502" s="22"/>
      <c r="K502" s="23"/>
    </row>
    <row r="503">
      <c r="F503" s="22"/>
      <c r="K503" s="23"/>
    </row>
    <row r="504">
      <c r="F504" s="22"/>
      <c r="K504" s="23"/>
    </row>
    <row r="505">
      <c r="F505" s="22"/>
      <c r="K505" s="23"/>
    </row>
    <row r="506">
      <c r="F506" s="22"/>
      <c r="K506" s="23"/>
    </row>
    <row r="507">
      <c r="F507" s="22"/>
      <c r="K507" s="23"/>
    </row>
    <row r="508">
      <c r="F508" s="22"/>
      <c r="K508" s="23"/>
    </row>
    <row r="509">
      <c r="F509" s="22"/>
      <c r="K509" s="23"/>
    </row>
    <row r="510">
      <c r="F510" s="22"/>
      <c r="K510" s="23"/>
    </row>
    <row r="511">
      <c r="F511" s="22"/>
      <c r="K511" s="23"/>
    </row>
    <row r="512">
      <c r="F512" s="22"/>
      <c r="K512" s="23"/>
    </row>
    <row r="513">
      <c r="F513" s="22"/>
      <c r="K513" s="23"/>
    </row>
    <row r="514">
      <c r="F514" s="22"/>
      <c r="K514" s="23"/>
    </row>
    <row r="515">
      <c r="F515" s="22"/>
      <c r="K515" s="23"/>
    </row>
    <row r="516">
      <c r="F516" s="22"/>
      <c r="K516" s="23"/>
    </row>
    <row r="517">
      <c r="F517" s="22"/>
      <c r="K517" s="23"/>
    </row>
    <row r="518">
      <c r="F518" s="22"/>
      <c r="K518" s="23"/>
    </row>
    <row r="519">
      <c r="F519" s="22"/>
      <c r="K519" s="23"/>
    </row>
    <row r="520">
      <c r="F520" s="22"/>
      <c r="K520" s="23"/>
    </row>
    <row r="521">
      <c r="F521" s="22"/>
      <c r="K521" s="23"/>
    </row>
    <row r="522">
      <c r="F522" s="22"/>
      <c r="K522" s="23"/>
    </row>
    <row r="523">
      <c r="F523" s="22"/>
      <c r="K523" s="23"/>
    </row>
    <row r="524">
      <c r="F524" s="22"/>
      <c r="K524" s="23"/>
    </row>
    <row r="525">
      <c r="F525" s="22"/>
      <c r="K525" s="23"/>
    </row>
    <row r="526">
      <c r="F526" s="22"/>
      <c r="K526" s="23"/>
    </row>
    <row r="527">
      <c r="F527" s="22"/>
      <c r="K527" s="23"/>
    </row>
    <row r="528">
      <c r="F528" s="22"/>
      <c r="K528" s="23"/>
    </row>
    <row r="529">
      <c r="F529" s="22"/>
      <c r="K529" s="23"/>
    </row>
    <row r="530">
      <c r="F530" s="22"/>
      <c r="K530" s="23"/>
    </row>
    <row r="531">
      <c r="F531" s="22"/>
      <c r="K531" s="23"/>
    </row>
    <row r="532">
      <c r="F532" s="22"/>
      <c r="K532" s="23"/>
    </row>
    <row r="533">
      <c r="F533" s="22"/>
      <c r="K533" s="23"/>
    </row>
    <row r="534">
      <c r="F534" s="22"/>
      <c r="K534" s="23"/>
    </row>
    <row r="535">
      <c r="F535" s="22"/>
      <c r="K535" s="23"/>
    </row>
    <row r="536">
      <c r="F536" s="22"/>
      <c r="K536" s="23"/>
    </row>
    <row r="537">
      <c r="F537" s="22"/>
      <c r="K537" s="23"/>
    </row>
    <row r="538">
      <c r="F538" s="22"/>
      <c r="K538" s="23"/>
    </row>
    <row r="539">
      <c r="F539" s="22"/>
      <c r="K539" s="23"/>
    </row>
    <row r="540">
      <c r="F540" s="22"/>
      <c r="K540" s="23"/>
    </row>
    <row r="541">
      <c r="F541" s="22"/>
      <c r="K541" s="23"/>
    </row>
    <row r="542">
      <c r="F542" s="22"/>
      <c r="K542" s="23"/>
    </row>
    <row r="543">
      <c r="F543" s="22"/>
      <c r="K543" s="23"/>
    </row>
    <row r="544">
      <c r="F544" s="22"/>
      <c r="K544" s="23"/>
    </row>
    <row r="545">
      <c r="F545" s="22"/>
      <c r="K545" s="23"/>
    </row>
    <row r="546">
      <c r="F546" s="22"/>
      <c r="K546" s="23"/>
    </row>
    <row r="547">
      <c r="F547" s="22"/>
      <c r="K547" s="23"/>
    </row>
    <row r="548">
      <c r="F548" s="22"/>
      <c r="K548" s="23"/>
    </row>
    <row r="549">
      <c r="F549" s="22"/>
      <c r="K549" s="23"/>
    </row>
    <row r="550">
      <c r="F550" s="22"/>
      <c r="K550" s="23"/>
    </row>
    <row r="551">
      <c r="F551" s="22"/>
      <c r="K551" s="23"/>
    </row>
    <row r="552">
      <c r="F552" s="22"/>
      <c r="K552" s="23"/>
    </row>
    <row r="553">
      <c r="F553" s="22"/>
      <c r="K553" s="23"/>
    </row>
    <row r="554">
      <c r="F554" s="22"/>
      <c r="K554" s="23"/>
    </row>
    <row r="555">
      <c r="F555" s="22"/>
      <c r="K555" s="23"/>
    </row>
    <row r="556">
      <c r="F556" s="22"/>
      <c r="K556" s="23"/>
    </row>
    <row r="557">
      <c r="F557" s="22"/>
      <c r="K557" s="23"/>
    </row>
    <row r="558">
      <c r="F558" s="22"/>
      <c r="K558" s="23"/>
    </row>
    <row r="559">
      <c r="F559" s="22"/>
      <c r="K559" s="23"/>
    </row>
    <row r="560">
      <c r="F560" s="22"/>
      <c r="K560" s="23"/>
    </row>
    <row r="561">
      <c r="F561" s="22"/>
      <c r="K561" s="23"/>
    </row>
    <row r="562">
      <c r="F562" s="22"/>
      <c r="K562" s="23"/>
    </row>
    <row r="563">
      <c r="F563" s="22"/>
      <c r="K563" s="23"/>
    </row>
    <row r="564">
      <c r="F564" s="22"/>
      <c r="K564" s="23"/>
    </row>
    <row r="565">
      <c r="F565" s="22"/>
      <c r="K565" s="23"/>
    </row>
    <row r="566">
      <c r="F566" s="22"/>
      <c r="K566" s="23"/>
    </row>
    <row r="567">
      <c r="F567" s="22"/>
      <c r="K567" s="23"/>
    </row>
    <row r="568">
      <c r="F568" s="22"/>
      <c r="K568" s="23"/>
    </row>
    <row r="569">
      <c r="F569" s="22"/>
      <c r="K569" s="23"/>
    </row>
    <row r="570">
      <c r="F570" s="22"/>
      <c r="K570" s="23"/>
    </row>
    <row r="571">
      <c r="F571" s="22"/>
      <c r="K571" s="23"/>
    </row>
    <row r="572">
      <c r="F572" s="22"/>
      <c r="K572" s="23"/>
    </row>
    <row r="573">
      <c r="F573" s="22"/>
      <c r="K573" s="23"/>
    </row>
    <row r="574">
      <c r="F574" s="22"/>
      <c r="K574" s="23"/>
    </row>
    <row r="575">
      <c r="F575" s="22"/>
      <c r="K575" s="23"/>
    </row>
    <row r="576">
      <c r="F576" s="22"/>
      <c r="K576" s="23"/>
    </row>
    <row r="577">
      <c r="F577" s="22"/>
      <c r="K577" s="23"/>
    </row>
    <row r="578">
      <c r="F578" s="22"/>
      <c r="K578" s="23"/>
    </row>
    <row r="579">
      <c r="F579" s="22"/>
      <c r="K579" s="23"/>
    </row>
    <row r="580">
      <c r="F580" s="22"/>
      <c r="K580" s="23"/>
    </row>
    <row r="581">
      <c r="F581" s="22"/>
      <c r="K581" s="23"/>
    </row>
    <row r="582">
      <c r="F582" s="22"/>
      <c r="K582" s="23"/>
    </row>
    <row r="583">
      <c r="F583" s="22"/>
      <c r="K583" s="23"/>
    </row>
    <row r="584">
      <c r="F584" s="22"/>
      <c r="K584" s="23"/>
    </row>
    <row r="585">
      <c r="F585" s="22"/>
      <c r="K585" s="23"/>
    </row>
    <row r="586">
      <c r="F586" s="22"/>
      <c r="K586" s="23"/>
    </row>
    <row r="587">
      <c r="F587" s="22"/>
      <c r="K587" s="23"/>
    </row>
    <row r="588">
      <c r="F588" s="22"/>
      <c r="K588" s="23"/>
    </row>
    <row r="589">
      <c r="F589" s="22"/>
      <c r="K589" s="23"/>
    </row>
    <row r="590">
      <c r="F590" s="22"/>
      <c r="K590" s="23"/>
    </row>
    <row r="591">
      <c r="F591" s="22"/>
      <c r="K591" s="23"/>
    </row>
    <row r="592">
      <c r="F592" s="22"/>
      <c r="K592" s="23"/>
    </row>
    <row r="593">
      <c r="F593" s="22"/>
      <c r="K593" s="23"/>
    </row>
    <row r="594">
      <c r="F594" s="22"/>
      <c r="K594" s="23"/>
    </row>
    <row r="595">
      <c r="F595" s="22"/>
      <c r="K595" s="23"/>
    </row>
    <row r="596">
      <c r="F596" s="22"/>
      <c r="K596" s="23"/>
    </row>
    <row r="597">
      <c r="F597" s="22"/>
      <c r="K597" s="23"/>
    </row>
    <row r="598">
      <c r="F598" s="22"/>
      <c r="K598" s="23"/>
    </row>
    <row r="599">
      <c r="F599" s="22"/>
      <c r="K599" s="23"/>
    </row>
    <row r="600">
      <c r="F600" s="22"/>
      <c r="K600" s="23"/>
    </row>
    <row r="601">
      <c r="F601" s="22"/>
      <c r="K601" s="23"/>
    </row>
    <row r="602">
      <c r="F602" s="22"/>
      <c r="K602" s="23"/>
    </row>
    <row r="603">
      <c r="F603" s="22"/>
      <c r="K603" s="23"/>
    </row>
    <row r="604">
      <c r="F604" s="22"/>
      <c r="K604" s="23"/>
    </row>
    <row r="605">
      <c r="F605" s="22"/>
      <c r="K605" s="23"/>
    </row>
    <row r="606">
      <c r="F606" s="22"/>
      <c r="K606" s="23"/>
    </row>
    <row r="607">
      <c r="F607" s="22"/>
      <c r="K607" s="23"/>
    </row>
    <row r="608">
      <c r="F608" s="22"/>
      <c r="K608" s="23"/>
    </row>
    <row r="609">
      <c r="F609" s="22"/>
      <c r="K609" s="23"/>
    </row>
    <row r="610">
      <c r="F610" s="22"/>
      <c r="K610" s="23"/>
    </row>
    <row r="611">
      <c r="F611" s="22"/>
      <c r="K611" s="23"/>
    </row>
    <row r="612">
      <c r="F612" s="22"/>
      <c r="K612" s="23"/>
    </row>
    <row r="613">
      <c r="F613" s="22"/>
      <c r="K613" s="23"/>
    </row>
    <row r="614">
      <c r="F614" s="22"/>
      <c r="K614" s="23"/>
    </row>
    <row r="615">
      <c r="F615" s="22"/>
      <c r="K615" s="23"/>
    </row>
    <row r="616">
      <c r="F616" s="22"/>
      <c r="K616" s="23"/>
    </row>
    <row r="617">
      <c r="F617" s="22"/>
      <c r="K617" s="23"/>
    </row>
    <row r="618">
      <c r="F618" s="22"/>
      <c r="K618" s="23"/>
    </row>
    <row r="619">
      <c r="F619" s="22"/>
      <c r="K619" s="23"/>
    </row>
    <row r="620">
      <c r="F620" s="22"/>
      <c r="K620" s="23"/>
    </row>
    <row r="621">
      <c r="F621" s="22"/>
      <c r="K621" s="23"/>
    </row>
    <row r="622">
      <c r="F622" s="22"/>
      <c r="K622" s="23"/>
    </row>
    <row r="623">
      <c r="F623" s="22"/>
      <c r="K623" s="23"/>
    </row>
    <row r="624">
      <c r="F624" s="22"/>
      <c r="K624" s="23"/>
    </row>
    <row r="625">
      <c r="F625" s="22"/>
      <c r="K625" s="23"/>
    </row>
    <row r="626">
      <c r="F626" s="22"/>
      <c r="K626" s="23"/>
    </row>
    <row r="627">
      <c r="F627" s="22"/>
      <c r="K627" s="23"/>
    </row>
    <row r="628">
      <c r="F628" s="22"/>
      <c r="K628" s="23"/>
    </row>
    <row r="629">
      <c r="F629" s="22"/>
      <c r="K629" s="23"/>
    </row>
    <row r="630">
      <c r="F630" s="22"/>
      <c r="K630" s="23"/>
    </row>
    <row r="631">
      <c r="F631" s="22"/>
      <c r="K631" s="23"/>
    </row>
    <row r="632">
      <c r="F632" s="22"/>
      <c r="K632" s="23"/>
    </row>
    <row r="633">
      <c r="F633" s="22"/>
      <c r="K633" s="23"/>
    </row>
    <row r="634">
      <c r="F634" s="22"/>
      <c r="K634" s="23"/>
    </row>
    <row r="635">
      <c r="F635" s="22"/>
      <c r="K635" s="23"/>
    </row>
    <row r="636">
      <c r="F636" s="22"/>
      <c r="K636" s="23"/>
    </row>
    <row r="637">
      <c r="F637" s="22"/>
      <c r="K637" s="23"/>
    </row>
    <row r="638">
      <c r="F638" s="22"/>
      <c r="K638" s="23"/>
    </row>
    <row r="639">
      <c r="F639" s="22"/>
      <c r="K639" s="23"/>
    </row>
    <row r="640">
      <c r="F640" s="22"/>
      <c r="K640" s="23"/>
    </row>
    <row r="641">
      <c r="F641" s="22"/>
      <c r="K641" s="23"/>
    </row>
    <row r="642">
      <c r="F642" s="22"/>
      <c r="K642" s="23"/>
    </row>
    <row r="643">
      <c r="F643" s="22"/>
      <c r="K643" s="23"/>
    </row>
    <row r="644">
      <c r="F644" s="22"/>
      <c r="K644" s="23"/>
    </row>
    <row r="645">
      <c r="F645" s="22"/>
      <c r="K645" s="23"/>
    </row>
    <row r="646">
      <c r="F646" s="22"/>
      <c r="K646" s="23"/>
    </row>
    <row r="647">
      <c r="F647" s="22"/>
      <c r="K647" s="23"/>
    </row>
    <row r="648">
      <c r="F648" s="22"/>
      <c r="K648" s="23"/>
    </row>
    <row r="649">
      <c r="F649" s="22"/>
      <c r="K649" s="23"/>
    </row>
    <row r="650">
      <c r="F650" s="22"/>
      <c r="K650" s="23"/>
    </row>
    <row r="651">
      <c r="F651" s="22"/>
      <c r="K651" s="23"/>
    </row>
    <row r="652">
      <c r="F652" s="22"/>
      <c r="K652" s="23"/>
    </row>
    <row r="653">
      <c r="F653" s="22"/>
      <c r="K653" s="23"/>
    </row>
    <row r="654">
      <c r="F654" s="22"/>
      <c r="K654" s="23"/>
    </row>
    <row r="655">
      <c r="F655" s="22"/>
      <c r="K655" s="23"/>
    </row>
    <row r="656">
      <c r="F656" s="22"/>
      <c r="K656" s="23"/>
    </row>
    <row r="657">
      <c r="F657" s="22"/>
      <c r="K657" s="23"/>
    </row>
    <row r="658">
      <c r="F658" s="22"/>
      <c r="K658" s="23"/>
    </row>
    <row r="659">
      <c r="F659" s="22"/>
      <c r="K659" s="23"/>
    </row>
    <row r="660">
      <c r="F660" s="22"/>
      <c r="K660" s="23"/>
    </row>
    <row r="661">
      <c r="F661" s="22"/>
      <c r="K661" s="23"/>
    </row>
    <row r="662">
      <c r="F662" s="22"/>
      <c r="K662" s="23"/>
    </row>
    <row r="663">
      <c r="F663" s="22"/>
      <c r="K663" s="23"/>
    </row>
    <row r="664">
      <c r="F664" s="22"/>
      <c r="K664" s="23"/>
    </row>
    <row r="665">
      <c r="F665" s="22"/>
      <c r="K665" s="23"/>
    </row>
    <row r="666">
      <c r="F666" s="22"/>
      <c r="K666" s="23"/>
    </row>
    <row r="667">
      <c r="F667" s="22"/>
      <c r="K667" s="23"/>
    </row>
    <row r="668">
      <c r="F668" s="22"/>
      <c r="K668" s="23"/>
    </row>
    <row r="669">
      <c r="F669" s="22"/>
      <c r="K669" s="23"/>
    </row>
    <row r="670">
      <c r="F670" s="22"/>
      <c r="K670" s="23"/>
    </row>
    <row r="671">
      <c r="F671" s="22"/>
      <c r="K671" s="23"/>
    </row>
    <row r="672">
      <c r="F672" s="22"/>
      <c r="K672" s="23"/>
    </row>
    <row r="673">
      <c r="F673" s="22"/>
      <c r="K673" s="23"/>
    </row>
    <row r="674">
      <c r="F674" s="22"/>
      <c r="K674" s="23"/>
    </row>
    <row r="675">
      <c r="F675" s="22"/>
      <c r="K675" s="23"/>
    </row>
    <row r="676">
      <c r="F676" s="22"/>
      <c r="K676" s="23"/>
    </row>
    <row r="677">
      <c r="F677" s="22"/>
      <c r="K677" s="23"/>
    </row>
    <row r="678">
      <c r="F678" s="22"/>
      <c r="K678" s="23"/>
    </row>
    <row r="679">
      <c r="F679" s="22"/>
      <c r="K679" s="23"/>
    </row>
    <row r="680">
      <c r="F680" s="22"/>
      <c r="K680" s="23"/>
    </row>
    <row r="681">
      <c r="F681" s="22"/>
      <c r="K681" s="23"/>
    </row>
    <row r="682">
      <c r="F682" s="22"/>
      <c r="K682" s="23"/>
    </row>
    <row r="683">
      <c r="F683" s="22"/>
      <c r="K683" s="23"/>
    </row>
    <row r="684">
      <c r="F684" s="22"/>
      <c r="K684" s="23"/>
    </row>
    <row r="685">
      <c r="F685" s="22"/>
      <c r="K685" s="23"/>
    </row>
    <row r="686">
      <c r="F686" s="22"/>
      <c r="K686" s="23"/>
    </row>
    <row r="687">
      <c r="F687" s="22"/>
      <c r="K687" s="23"/>
    </row>
    <row r="688">
      <c r="F688" s="22"/>
      <c r="K688" s="23"/>
    </row>
    <row r="689">
      <c r="F689" s="22"/>
      <c r="K689" s="23"/>
    </row>
    <row r="690">
      <c r="F690" s="22"/>
      <c r="K690" s="23"/>
    </row>
    <row r="691">
      <c r="F691" s="22"/>
      <c r="K691" s="23"/>
    </row>
    <row r="692">
      <c r="F692" s="22"/>
      <c r="K692" s="23"/>
    </row>
    <row r="693">
      <c r="F693" s="22"/>
      <c r="K693" s="23"/>
    </row>
    <row r="694">
      <c r="F694" s="22"/>
      <c r="K694" s="23"/>
    </row>
    <row r="695">
      <c r="F695" s="22"/>
      <c r="K695" s="23"/>
    </row>
    <row r="696">
      <c r="F696" s="22"/>
      <c r="K696" s="23"/>
    </row>
    <row r="697">
      <c r="F697" s="22"/>
      <c r="K697" s="23"/>
    </row>
    <row r="698">
      <c r="F698" s="22"/>
      <c r="K698" s="23"/>
    </row>
    <row r="699">
      <c r="F699" s="22"/>
      <c r="K699" s="23"/>
    </row>
    <row r="700">
      <c r="F700" s="22"/>
      <c r="K700" s="23"/>
    </row>
    <row r="701">
      <c r="F701" s="22"/>
      <c r="K701" s="23"/>
    </row>
    <row r="702">
      <c r="F702" s="22"/>
      <c r="K702" s="23"/>
    </row>
    <row r="703">
      <c r="F703" s="22"/>
      <c r="K703" s="23"/>
    </row>
    <row r="704">
      <c r="F704" s="22"/>
      <c r="K704" s="23"/>
    </row>
    <row r="705">
      <c r="F705" s="22"/>
      <c r="K705" s="23"/>
    </row>
    <row r="706">
      <c r="F706" s="22"/>
      <c r="K706" s="23"/>
    </row>
    <row r="707">
      <c r="F707" s="22"/>
      <c r="K707" s="23"/>
    </row>
    <row r="708">
      <c r="F708" s="22"/>
      <c r="K708" s="23"/>
    </row>
    <row r="709">
      <c r="F709" s="22"/>
      <c r="K709" s="23"/>
    </row>
    <row r="710">
      <c r="F710" s="22"/>
      <c r="K710" s="23"/>
    </row>
    <row r="711">
      <c r="F711" s="22"/>
      <c r="K711" s="23"/>
    </row>
    <row r="712">
      <c r="F712" s="22"/>
      <c r="K712" s="23"/>
    </row>
    <row r="713">
      <c r="F713" s="22"/>
      <c r="K713" s="23"/>
    </row>
    <row r="714">
      <c r="F714" s="22"/>
      <c r="K714" s="23"/>
    </row>
    <row r="715">
      <c r="F715" s="22"/>
      <c r="K715" s="23"/>
    </row>
    <row r="716">
      <c r="F716" s="22"/>
      <c r="K716" s="23"/>
    </row>
    <row r="717">
      <c r="F717" s="22"/>
      <c r="K717" s="23"/>
    </row>
    <row r="718">
      <c r="F718" s="22"/>
      <c r="K718" s="23"/>
    </row>
    <row r="719">
      <c r="F719" s="22"/>
      <c r="K719" s="23"/>
    </row>
    <row r="720">
      <c r="F720" s="22"/>
      <c r="K720" s="23"/>
    </row>
    <row r="721">
      <c r="F721" s="22"/>
      <c r="K721" s="23"/>
    </row>
    <row r="722">
      <c r="F722" s="22"/>
      <c r="K722" s="23"/>
    </row>
    <row r="723">
      <c r="F723" s="22"/>
      <c r="K723" s="23"/>
    </row>
    <row r="724">
      <c r="F724" s="22"/>
      <c r="K724" s="23"/>
    </row>
    <row r="725">
      <c r="F725" s="22"/>
      <c r="K725" s="23"/>
    </row>
    <row r="726">
      <c r="F726" s="22"/>
      <c r="K726" s="23"/>
    </row>
    <row r="727">
      <c r="F727" s="22"/>
      <c r="K727" s="23"/>
    </row>
    <row r="728">
      <c r="F728" s="22"/>
      <c r="K728" s="23"/>
    </row>
    <row r="729">
      <c r="F729" s="22"/>
      <c r="K729" s="23"/>
    </row>
    <row r="730">
      <c r="F730" s="22"/>
      <c r="K730" s="23"/>
    </row>
    <row r="731">
      <c r="F731" s="22"/>
      <c r="K731" s="23"/>
    </row>
    <row r="732">
      <c r="F732" s="22"/>
      <c r="K732" s="23"/>
    </row>
    <row r="733">
      <c r="F733" s="22"/>
      <c r="K733" s="23"/>
    </row>
    <row r="734">
      <c r="F734" s="22"/>
      <c r="K734" s="23"/>
    </row>
    <row r="735">
      <c r="F735" s="22"/>
      <c r="K735" s="23"/>
    </row>
    <row r="736">
      <c r="F736" s="22"/>
      <c r="K736" s="23"/>
    </row>
    <row r="737">
      <c r="F737" s="22"/>
      <c r="K737" s="23"/>
    </row>
    <row r="738">
      <c r="F738" s="22"/>
      <c r="K738" s="23"/>
    </row>
    <row r="739">
      <c r="F739" s="22"/>
      <c r="K739" s="23"/>
    </row>
    <row r="740">
      <c r="F740" s="22"/>
      <c r="K740" s="23"/>
    </row>
    <row r="741">
      <c r="F741" s="22"/>
      <c r="K741" s="23"/>
    </row>
    <row r="742">
      <c r="F742" s="22"/>
      <c r="K742" s="23"/>
    </row>
    <row r="743">
      <c r="F743" s="22"/>
      <c r="K743" s="23"/>
    </row>
    <row r="744">
      <c r="F744" s="22"/>
      <c r="K744" s="23"/>
    </row>
    <row r="745">
      <c r="F745" s="22"/>
      <c r="K745" s="23"/>
    </row>
    <row r="746">
      <c r="F746" s="22"/>
      <c r="K746" s="23"/>
    </row>
    <row r="747">
      <c r="F747" s="22"/>
      <c r="K747" s="23"/>
    </row>
    <row r="748">
      <c r="F748" s="22"/>
      <c r="K748" s="23"/>
    </row>
    <row r="749">
      <c r="F749" s="22"/>
      <c r="K749" s="23"/>
    </row>
    <row r="750">
      <c r="F750" s="22"/>
      <c r="K750" s="23"/>
    </row>
    <row r="751">
      <c r="F751" s="22"/>
      <c r="K751" s="23"/>
    </row>
    <row r="752">
      <c r="F752" s="22"/>
      <c r="K752" s="23"/>
    </row>
    <row r="753">
      <c r="F753" s="22"/>
      <c r="K753" s="23"/>
    </row>
    <row r="754">
      <c r="F754" s="22"/>
      <c r="K754" s="23"/>
    </row>
    <row r="755">
      <c r="F755" s="22"/>
      <c r="K755" s="23"/>
    </row>
    <row r="756">
      <c r="F756" s="22"/>
      <c r="K756" s="23"/>
    </row>
    <row r="757">
      <c r="F757" s="22"/>
      <c r="K757" s="23"/>
    </row>
    <row r="758">
      <c r="F758" s="22"/>
      <c r="K758" s="23"/>
    </row>
    <row r="759">
      <c r="F759" s="22"/>
      <c r="K759" s="23"/>
    </row>
    <row r="760">
      <c r="F760" s="22"/>
      <c r="K760" s="23"/>
    </row>
    <row r="761">
      <c r="F761" s="22"/>
      <c r="K761" s="23"/>
    </row>
    <row r="762">
      <c r="F762" s="22"/>
      <c r="K762" s="23"/>
    </row>
    <row r="763">
      <c r="F763" s="22"/>
      <c r="K763" s="23"/>
    </row>
    <row r="764">
      <c r="F764" s="22"/>
      <c r="K764" s="23"/>
    </row>
    <row r="765">
      <c r="F765" s="22"/>
      <c r="K765" s="23"/>
    </row>
    <row r="766">
      <c r="F766" s="22"/>
      <c r="K766" s="23"/>
    </row>
    <row r="767">
      <c r="F767" s="22"/>
      <c r="K767" s="23"/>
    </row>
    <row r="768">
      <c r="F768" s="22"/>
      <c r="K768" s="23"/>
    </row>
    <row r="769">
      <c r="F769" s="22"/>
      <c r="K769" s="23"/>
    </row>
    <row r="770">
      <c r="F770" s="22"/>
      <c r="K770" s="23"/>
    </row>
    <row r="771">
      <c r="F771" s="22"/>
      <c r="K771" s="23"/>
    </row>
    <row r="772">
      <c r="F772" s="22"/>
      <c r="K772" s="23"/>
    </row>
    <row r="773">
      <c r="F773" s="22"/>
      <c r="K773" s="23"/>
    </row>
    <row r="774">
      <c r="F774" s="22"/>
      <c r="K774" s="23"/>
    </row>
    <row r="775">
      <c r="F775" s="22"/>
      <c r="K775" s="23"/>
    </row>
    <row r="776">
      <c r="F776" s="22"/>
      <c r="K776" s="23"/>
    </row>
    <row r="777">
      <c r="F777" s="22"/>
      <c r="K777" s="23"/>
    </row>
    <row r="778">
      <c r="F778" s="22"/>
      <c r="K778" s="23"/>
    </row>
    <row r="779">
      <c r="F779" s="22"/>
      <c r="K779" s="23"/>
    </row>
    <row r="780">
      <c r="F780" s="22"/>
      <c r="K780" s="23"/>
    </row>
    <row r="781">
      <c r="F781" s="22"/>
      <c r="K781" s="23"/>
    </row>
    <row r="782">
      <c r="F782" s="22"/>
      <c r="K782" s="23"/>
    </row>
    <row r="783">
      <c r="F783" s="22"/>
      <c r="K783" s="23"/>
    </row>
    <row r="784">
      <c r="F784" s="22"/>
      <c r="K784" s="23"/>
    </row>
    <row r="785">
      <c r="F785" s="22"/>
      <c r="K785" s="23"/>
    </row>
    <row r="786">
      <c r="F786" s="22"/>
      <c r="K786" s="23"/>
    </row>
    <row r="787">
      <c r="F787" s="22"/>
      <c r="K787" s="23"/>
    </row>
    <row r="788">
      <c r="F788" s="22"/>
      <c r="K788" s="23"/>
    </row>
    <row r="789">
      <c r="F789" s="22"/>
      <c r="K789" s="23"/>
    </row>
    <row r="790">
      <c r="F790" s="22"/>
      <c r="K790" s="23"/>
    </row>
    <row r="791">
      <c r="F791" s="22"/>
      <c r="K791" s="23"/>
    </row>
    <row r="792">
      <c r="F792" s="22"/>
      <c r="K792" s="23"/>
    </row>
    <row r="793">
      <c r="F793" s="22"/>
      <c r="K793" s="23"/>
    </row>
    <row r="794">
      <c r="F794" s="22"/>
      <c r="K794" s="23"/>
    </row>
    <row r="795">
      <c r="F795" s="22"/>
      <c r="K795" s="23"/>
    </row>
    <row r="796">
      <c r="F796" s="22"/>
      <c r="K796" s="23"/>
    </row>
    <row r="797">
      <c r="F797" s="22"/>
      <c r="K797" s="23"/>
    </row>
    <row r="798">
      <c r="F798" s="22"/>
      <c r="K798" s="23"/>
    </row>
    <row r="799">
      <c r="F799" s="22"/>
      <c r="K799" s="23"/>
    </row>
    <row r="800">
      <c r="F800" s="22"/>
      <c r="K800" s="23"/>
    </row>
    <row r="801">
      <c r="F801" s="22"/>
      <c r="K801" s="23"/>
    </row>
    <row r="802">
      <c r="F802" s="22"/>
      <c r="K802" s="23"/>
    </row>
    <row r="803">
      <c r="F803" s="22"/>
      <c r="K803" s="23"/>
    </row>
    <row r="804">
      <c r="F804" s="22"/>
      <c r="K804" s="23"/>
    </row>
    <row r="805">
      <c r="F805" s="22"/>
      <c r="K805" s="23"/>
    </row>
    <row r="806">
      <c r="F806" s="22"/>
      <c r="K806" s="23"/>
    </row>
    <row r="807">
      <c r="F807" s="22"/>
      <c r="K807" s="23"/>
    </row>
    <row r="808">
      <c r="F808" s="22"/>
      <c r="K808" s="23"/>
    </row>
    <row r="809">
      <c r="F809" s="22"/>
      <c r="K809" s="23"/>
    </row>
    <row r="810">
      <c r="F810" s="22"/>
      <c r="K810" s="23"/>
    </row>
    <row r="811">
      <c r="F811" s="22"/>
      <c r="K811" s="23"/>
    </row>
    <row r="812">
      <c r="F812" s="22"/>
      <c r="K812" s="23"/>
    </row>
    <row r="813">
      <c r="F813" s="22"/>
      <c r="K813" s="23"/>
    </row>
    <row r="814">
      <c r="F814" s="22"/>
      <c r="K814" s="23"/>
    </row>
    <row r="815">
      <c r="F815" s="22"/>
      <c r="K815" s="23"/>
    </row>
    <row r="816">
      <c r="F816" s="22"/>
      <c r="K816" s="23"/>
    </row>
    <row r="817">
      <c r="F817" s="22"/>
      <c r="K817" s="23"/>
    </row>
    <row r="818">
      <c r="F818" s="22"/>
      <c r="K818" s="23"/>
    </row>
    <row r="819">
      <c r="F819" s="22"/>
      <c r="K819" s="23"/>
    </row>
    <row r="820">
      <c r="F820" s="22"/>
      <c r="K820" s="23"/>
    </row>
    <row r="821">
      <c r="F821" s="22"/>
      <c r="K821" s="23"/>
    </row>
    <row r="822">
      <c r="F822" s="22"/>
      <c r="K822" s="23"/>
    </row>
    <row r="823">
      <c r="F823" s="22"/>
      <c r="K823" s="23"/>
    </row>
    <row r="824">
      <c r="F824" s="22"/>
      <c r="K824" s="23"/>
    </row>
    <row r="825">
      <c r="F825" s="22"/>
      <c r="K825" s="23"/>
    </row>
    <row r="826">
      <c r="F826" s="22"/>
      <c r="K826" s="23"/>
    </row>
    <row r="827">
      <c r="F827" s="22"/>
      <c r="K827" s="23"/>
    </row>
    <row r="828">
      <c r="F828" s="22"/>
      <c r="K828" s="23"/>
    </row>
    <row r="829">
      <c r="F829" s="22"/>
      <c r="K829" s="23"/>
    </row>
    <row r="830">
      <c r="F830" s="22"/>
      <c r="K830" s="23"/>
    </row>
    <row r="831">
      <c r="F831" s="22"/>
      <c r="K831" s="23"/>
    </row>
    <row r="832">
      <c r="F832" s="22"/>
      <c r="K832" s="23"/>
    </row>
    <row r="833">
      <c r="F833" s="22"/>
      <c r="K833" s="23"/>
    </row>
    <row r="834">
      <c r="F834" s="22"/>
      <c r="K834" s="23"/>
    </row>
    <row r="835">
      <c r="F835" s="22"/>
      <c r="K835" s="23"/>
    </row>
    <row r="836">
      <c r="F836" s="22"/>
      <c r="K836" s="23"/>
    </row>
    <row r="837">
      <c r="F837" s="22"/>
      <c r="K837" s="23"/>
    </row>
    <row r="838">
      <c r="F838" s="22"/>
      <c r="K838" s="23"/>
    </row>
    <row r="839">
      <c r="F839" s="22"/>
      <c r="K839" s="23"/>
    </row>
    <row r="840">
      <c r="F840" s="22"/>
      <c r="K840" s="23"/>
    </row>
    <row r="841">
      <c r="F841" s="22"/>
      <c r="K841" s="23"/>
    </row>
    <row r="842">
      <c r="F842" s="22"/>
      <c r="K842" s="23"/>
    </row>
    <row r="843">
      <c r="F843" s="22"/>
      <c r="K843" s="23"/>
    </row>
    <row r="844">
      <c r="F844" s="22"/>
      <c r="K844" s="23"/>
    </row>
    <row r="845">
      <c r="F845" s="22"/>
      <c r="K845" s="23"/>
    </row>
    <row r="846">
      <c r="F846" s="22"/>
      <c r="K846" s="23"/>
    </row>
    <row r="847">
      <c r="F847" s="22"/>
      <c r="K847" s="23"/>
    </row>
    <row r="848">
      <c r="F848" s="22"/>
      <c r="K848" s="23"/>
    </row>
    <row r="849">
      <c r="F849" s="22"/>
      <c r="K849" s="23"/>
    </row>
    <row r="850">
      <c r="F850" s="22"/>
      <c r="K850" s="23"/>
    </row>
    <row r="851">
      <c r="F851" s="22"/>
      <c r="K851" s="23"/>
    </row>
    <row r="852">
      <c r="F852" s="22"/>
      <c r="K852" s="23"/>
    </row>
    <row r="853">
      <c r="F853" s="22"/>
      <c r="K853" s="23"/>
    </row>
    <row r="854">
      <c r="F854" s="22"/>
      <c r="K854" s="23"/>
    </row>
    <row r="855">
      <c r="F855" s="22"/>
      <c r="K855" s="23"/>
    </row>
    <row r="856">
      <c r="F856" s="22"/>
      <c r="K856" s="23"/>
    </row>
    <row r="857">
      <c r="F857" s="22"/>
      <c r="K857" s="23"/>
    </row>
    <row r="858">
      <c r="F858" s="22"/>
      <c r="K858" s="23"/>
    </row>
    <row r="859">
      <c r="F859" s="22"/>
      <c r="K859" s="23"/>
    </row>
    <row r="860">
      <c r="F860" s="22"/>
      <c r="K860" s="23"/>
    </row>
    <row r="861">
      <c r="F861" s="22"/>
      <c r="K861" s="23"/>
    </row>
    <row r="862">
      <c r="F862" s="22"/>
      <c r="K862" s="23"/>
    </row>
    <row r="863">
      <c r="F863" s="22"/>
      <c r="K863" s="23"/>
    </row>
    <row r="864">
      <c r="F864" s="22"/>
      <c r="K864" s="23"/>
    </row>
    <row r="865">
      <c r="F865" s="22"/>
      <c r="K865" s="23"/>
    </row>
    <row r="866">
      <c r="F866" s="22"/>
      <c r="K866" s="23"/>
    </row>
    <row r="867">
      <c r="F867" s="22"/>
      <c r="K867" s="23"/>
    </row>
    <row r="868">
      <c r="F868" s="22"/>
      <c r="K868" s="23"/>
    </row>
    <row r="869">
      <c r="F869" s="22"/>
      <c r="K869" s="23"/>
    </row>
    <row r="870">
      <c r="F870" s="22"/>
      <c r="K870" s="23"/>
    </row>
    <row r="871">
      <c r="F871" s="22"/>
      <c r="K871" s="23"/>
    </row>
    <row r="872">
      <c r="F872" s="22"/>
      <c r="K872" s="23"/>
    </row>
    <row r="873">
      <c r="F873" s="22"/>
      <c r="K873" s="23"/>
    </row>
    <row r="874">
      <c r="F874" s="22"/>
      <c r="K874" s="23"/>
    </row>
    <row r="875">
      <c r="F875" s="22"/>
      <c r="K875" s="23"/>
    </row>
    <row r="876">
      <c r="F876" s="22"/>
      <c r="K876" s="23"/>
    </row>
    <row r="877">
      <c r="F877" s="22"/>
      <c r="K877" s="23"/>
    </row>
    <row r="878">
      <c r="F878" s="22"/>
      <c r="K878" s="23"/>
    </row>
    <row r="879">
      <c r="F879" s="22"/>
      <c r="K879" s="23"/>
    </row>
    <row r="880">
      <c r="F880" s="22"/>
      <c r="K880" s="23"/>
    </row>
    <row r="881">
      <c r="F881" s="22"/>
      <c r="K881" s="23"/>
    </row>
    <row r="882">
      <c r="F882" s="22"/>
      <c r="K882" s="23"/>
    </row>
    <row r="883">
      <c r="F883" s="22"/>
      <c r="K883" s="23"/>
    </row>
    <row r="884">
      <c r="F884" s="22"/>
      <c r="K884" s="23"/>
    </row>
    <row r="885">
      <c r="F885" s="22"/>
      <c r="K885" s="23"/>
    </row>
    <row r="886">
      <c r="F886" s="22"/>
      <c r="K886" s="23"/>
    </row>
    <row r="887">
      <c r="F887" s="22"/>
      <c r="K887" s="23"/>
    </row>
    <row r="888">
      <c r="F888" s="22"/>
      <c r="K888" s="23"/>
    </row>
    <row r="889">
      <c r="F889" s="22"/>
      <c r="K889" s="23"/>
    </row>
    <row r="890">
      <c r="F890" s="22"/>
      <c r="K890" s="23"/>
    </row>
    <row r="891">
      <c r="F891" s="22"/>
      <c r="K891" s="23"/>
    </row>
    <row r="892">
      <c r="F892" s="22"/>
      <c r="K892" s="23"/>
    </row>
    <row r="893">
      <c r="F893" s="22"/>
      <c r="K893" s="23"/>
    </row>
    <row r="894">
      <c r="F894" s="22"/>
      <c r="K894" s="23"/>
    </row>
    <row r="895">
      <c r="F895" s="22"/>
      <c r="K895" s="23"/>
    </row>
    <row r="896">
      <c r="F896" s="22"/>
      <c r="K896" s="23"/>
    </row>
    <row r="897">
      <c r="F897" s="22"/>
      <c r="K897" s="23"/>
    </row>
    <row r="898">
      <c r="F898" s="22"/>
      <c r="K898" s="23"/>
    </row>
    <row r="899">
      <c r="F899" s="22"/>
      <c r="K899" s="23"/>
    </row>
    <row r="900">
      <c r="F900" s="22"/>
      <c r="K900" s="23"/>
    </row>
    <row r="901">
      <c r="F901" s="22"/>
      <c r="K901" s="23"/>
    </row>
    <row r="902">
      <c r="F902" s="22"/>
      <c r="K902" s="23"/>
    </row>
    <row r="903">
      <c r="F903" s="22"/>
      <c r="K903" s="23"/>
    </row>
    <row r="904">
      <c r="F904" s="22"/>
      <c r="K904" s="23"/>
    </row>
    <row r="905">
      <c r="F905" s="22"/>
      <c r="K905" s="23"/>
    </row>
    <row r="906">
      <c r="F906" s="22"/>
      <c r="K906" s="23"/>
    </row>
    <row r="907">
      <c r="F907" s="22"/>
      <c r="K907" s="23"/>
    </row>
    <row r="908">
      <c r="F908" s="22"/>
      <c r="K908" s="23"/>
    </row>
    <row r="909">
      <c r="F909" s="22"/>
      <c r="K909" s="23"/>
    </row>
    <row r="910">
      <c r="F910" s="22"/>
      <c r="K910" s="23"/>
    </row>
    <row r="911">
      <c r="F911" s="22"/>
      <c r="K911" s="23"/>
    </row>
    <row r="912">
      <c r="F912" s="22"/>
      <c r="K912" s="23"/>
    </row>
    <row r="913">
      <c r="F913" s="22"/>
      <c r="K913" s="23"/>
    </row>
    <row r="914">
      <c r="F914" s="22"/>
      <c r="K914" s="23"/>
    </row>
    <row r="915">
      <c r="F915" s="22"/>
      <c r="K915" s="23"/>
    </row>
    <row r="916">
      <c r="F916" s="22"/>
      <c r="K916" s="23"/>
    </row>
    <row r="917">
      <c r="F917" s="22"/>
      <c r="K917" s="23"/>
    </row>
    <row r="918">
      <c r="F918" s="22"/>
      <c r="K918" s="23"/>
    </row>
    <row r="919">
      <c r="F919" s="22"/>
      <c r="K919" s="23"/>
    </row>
    <row r="920">
      <c r="F920" s="22"/>
      <c r="K920" s="23"/>
    </row>
    <row r="921">
      <c r="F921" s="22"/>
      <c r="K921" s="23"/>
    </row>
    <row r="922">
      <c r="F922" s="22"/>
      <c r="K922" s="23"/>
    </row>
    <row r="923">
      <c r="F923" s="22"/>
      <c r="K923" s="23"/>
    </row>
    <row r="924">
      <c r="F924" s="22"/>
      <c r="K924" s="23"/>
    </row>
    <row r="925">
      <c r="F925" s="22"/>
      <c r="K925" s="23"/>
    </row>
    <row r="926">
      <c r="F926" s="22"/>
      <c r="K926" s="23"/>
    </row>
    <row r="927">
      <c r="F927" s="22"/>
      <c r="K927" s="23"/>
    </row>
    <row r="928">
      <c r="F928" s="22"/>
      <c r="K928" s="23"/>
    </row>
    <row r="929">
      <c r="F929" s="22"/>
      <c r="K929" s="23"/>
    </row>
    <row r="930">
      <c r="F930" s="22"/>
      <c r="K930" s="23"/>
    </row>
    <row r="931">
      <c r="F931" s="22"/>
      <c r="K931" s="23"/>
    </row>
    <row r="932">
      <c r="F932" s="22"/>
      <c r="K932" s="23"/>
    </row>
    <row r="933">
      <c r="F933" s="22"/>
      <c r="K933" s="23"/>
    </row>
    <row r="934">
      <c r="F934" s="22"/>
      <c r="K934" s="23"/>
    </row>
    <row r="935">
      <c r="F935" s="22"/>
      <c r="K935" s="23"/>
    </row>
    <row r="936">
      <c r="F936" s="22"/>
      <c r="K936" s="23"/>
    </row>
    <row r="937">
      <c r="F937" s="22"/>
      <c r="K937" s="23"/>
    </row>
    <row r="938">
      <c r="F938" s="22"/>
      <c r="K938" s="23"/>
    </row>
    <row r="939">
      <c r="F939" s="22"/>
      <c r="K939" s="23"/>
    </row>
    <row r="940">
      <c r="F940" s="22"/>
      <c r="K940" s="23"/>
    </row>
    <row r="941">
      <c r="F941" s="22"/>
      <c r="K941" s="23"/>
    </row>
    <row r="942">
      <c r="F942" s="22"/>
      <c r="K942" s="23"/>
    </row>
    <row r="943">
      <c r="F943" s="22"/>
      <c r="K943" s="23"/>
    </row>
    <row r="944">
      <c r="F944" s="22"/>
      <c r="K944" s="23"/>
    </row>
    <row r="945">
      <c r="F945" s="22"/>
      <c r="K945" s="23"/>
    </row>
    <row r="946">
      <c r="F946" s="22"/>
      <c r="K946" s="23"/>
    </row>
    <row r="947">
      <c r="F947" s="22"/>
      <c r="K947" s="23"/>
    </row>
    <row r="948">
      <c r="F948" s="22"/>
      <c r="K948" s="23"/>
    </row>
    <row r="949">
      <c r="F949" s="22"/>
      <c r="K949" s="23"/>
    </row>
    <row r="950">
      <c r="F950" s="22"/>
      <c r="K950" s="23"/>
    </row>
    <row r="951">
      <c r="F951" s="22"/>
      <c r="K951" s="23"/>
    </row>
    <row r="952">
      <c r="F952" s="22"/>
      <c r="K952" s="23"/>
    </row>
    <row r="953">
      <c r="F953" s="22"/>
      <c r="K953" s="23"/>
    </row>
    <row r="954">
      <c r="F954" s="22"/>
      <c r="K954" s="23"/>
    </row>
    <row r="955">
      <c r="F955" s="22"/>
      <c r="K955" s="23"/>
    </row>
    <row r="956">
      <c r="F956" s="22"/>
      <c r="K956" s="23"/>
    </row>
    <row r="957">
      <c r="F957" s="22"/>
      <c r="K957" s="23"/>
    </row>
    <row r="958">
      <c r="F958" s="22"/>
      <c r="K958" s="23"/>
    </row>
    <row r="959">
      <c r="F959" s="22"/>
      <c r="K959" s="23"/>
    </row>
    <row r="960">
      <c r="F960" s="22"/>
      <c r="K960" s="23"/>
    </row>
    <row r="961">
      <c r="F961" s="22"/>
      <c r="K961" s="23"/>
    </row>
    <row r="962">
      <c r="F962" s="22"/>
      <c r="K962" s="23"/>
    </row>
    <row r="963">
      <c r="F963" s="22"/>
      <c r="K963" s="23"/>
    </row>
    <row r="964">
      <c r="F964" s="22"/>
      <c r="K964" s="23"/>
    </row>
    <row r="965">
      <c r="F965" s="22"/>
      <c r="K965" s="23"/>
    </row>
    <row r="966">
      <c r="F966" s="22"/>
      <c r="K966" s="23"/>
    </row>
    <row r="967">
      <c r="F967" s="22"/>
      <c r="K967" s="23"/>
    </row>
    <row r="968">
      <c r="F968" s="22"/>
      <c r="K968" s="23"/>
    </row>
    <row r="969">
      <c r="F969" s="22"/>
      <c r="K969" s="23"/>
    </row>
    <row r="970">
      <c r="F970" s="22"/>
      <c r="K970" s="23"/>
    </row>
    <row r="971">
      <c r="F971" s="22"/>
      <c r="K971" s="23"/>
    </row>
    <row r="972">
      <c r="F972" s="22"/>
      <c r="K972" s="23"/>
    </row>
    <row r="973">
      <c r="F973" s="22"/>
      <c r="K973" s="23"/>
    </row>
    <row r="974">
      <c r="F974" s="22"/>
      <c r="K974" s="23"/>
    </row>
    <row r="975">
      <c r="F975" s="22"/>
      <c r="K975" s="23"/>
    </row>
    <row r="976">
      <c r="F976" s="22"/>
      <c r="K976" s="23"/>
    </row>
    <row r="977">
      <c r="F977" s="22"/>
      <c r="K977" s="23"/>
    </row>
    <row r="978">
      <c r="F978" s="22"/>
      <c r="K978" s="23"/>
    </row>
    <row r="979">
      <c r="F979" s="22"/>
      <c r="K979" s="23"/>
    </row>
    <row r="980">
      <c r="F980" s="22"/>
      <c r="K980" s="23"/>
    </row>
    <row r="981">
      <c r="F981" s="22"/>
      <c r="K981" s="23"/>
    </row>
    <row r="982">
      <c r="F982" s="22"/>
      <c r="K982" s="23"/>
    </row>
    <row r="983">
      <c r="F983" s="22"/>
      <c r="K983" s="23"/>
    </row>
    <row r="984">
      <c r="F984" s="22"/>
      <c r="K984" s="23"/>
    </row>
    <row r="985">
      <c r="F985" s="22"/>
      <c r="K985" s="23"/>
    </row>
    <row r="986">
      <c r="F986" s="22"/>
      <c r="K986" s="23"/>
    </row>
    <row r="987">
      <c r="F987" s="22"/>
      <c r="K987" s="23"/>
    </row>
    <row r="988">
      <c r="F988" s="22"/>
      <c r="K988" s="23"/>
    </row>
    <row r="989">
      <c r="F989" s="22"/>
      <c r="K989" s="23"/>
    </row>
    <row r="990">
      <c r="F990" s="22"/>
      <c r="K990" s="23"/>
    </row>
    <row r="991">
      <c r="F991" s="22"/>
      <c r="K991" s="23"/>
    </row>
    <row r="992">
      <c r="F992" s="22"/>
      <c r="K992" s="23"/>
    </row>
    <row r="993">
      <c r="F993" s="22"/>
      <c r="K993" s="23"/>
    </row>
    <row r="994">
      <c r="F994" s="22"/>
      <c r="K994" s="23"/>
    </row>
    <row r="995">
      <c r="F995" s="22"/>
      <c r="K995" s="23"/>
    </row>
    <row r="996">
      <c r="F996" s="22"/>
      <c r="K996" s="23"/>
    </row>
    <row r="997">
      <c r="F997" s="22"/>
      <c r="K997" s="23"/>
    </row>
    <row r="998">
      <c r="F998" s="22"/>
      <c r="K998" s="23"/>
    </row>
    <row r="999">
      <c r="F999" s="22"/>
      <c r="K999" s="23"/>
    </row>
    <row r="1000">
      <c r="F1000" s="22"/>
      <c r="K1000" s="23"/>
    </row>
  </sheetData>
  <mergeCells count="27">
    <mergeCell ref="N3:O3"/>
    <mergeCell ref="M5:N5"/>
    <mergeCell ref="M6:N6"/>
    <mergeCell ref="N7:O7"/>
    <mergeCell ref="M12:O12"/>
    <mergeCell ref="M14:O14"/>
    <mergeCell ref="M20:N20"/>
    <mergeCell ref="M23:N23"/>
    <mergeCell ref="M24:O24"/>
    <mergeCell ref="M27:N27"/>
    <mergeCell ref="N28:O28"/>
    <mergeCell ref="M32:N32"/>
    <mergeCell ref="M33:O33"/>
    <mergeCell ref="M35:N35"/>
    <mergeCell ref="N49:O49"/>
    <mergeCell ref="M50:O50"/>
    <mergeCell ref="N51:O51"/>
    <mergeCell ref="N52:O52"/>
    <mergeCell ref="M53:N53"/>
    <mergeCell ref="N60:O60"/>
    <mergeCell ref="N34:O34"/>
    <mergeCell ref="N38:O38"/>
    <mergeCell ref="M40:N40"/>
    <mergeCell ref="N41:O41"/>
    <mergeCell ref="N42:O42"/>
    <mergeCell ref="N45:O45"/>
    <mergeCell ref="N48:O4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  <col customWidth="1" min="4" max="4" width="25.0"/>
    <col customWidth="1" min="6" max="6" width="30.63"/>
    <col customWidth="1" min="11" max="11" width="64.0"/>
    <col customWidth="1" min="12" max="12" width="43.5"/>
    <col customWidth="1" min="13" max="13" width="39.25"/>
  </cols>
  <sheetData>
    <row r="1">
      <c r="A1" s="10" t="s">
        <v>73</v>
      </c>
      <c r="B1" s="10" t="s">
        <v>74</v>
      </c>
      <c r="C1" s="10" t="s">
        <v>1</v>
      </c>
      <c r="D1" s="10" t="s">
        <v>75</v>
      </c>
      <c r="E1" s="10" t="s">
        <v>76</v>
      </c>
      <c r="F1" s="10" t="s">
        <v>77</v>
      </c>
      <c r="G1" s="10" t="s">
        <v>78</v>
      </c>
      <c r="H1" s="10" t="s">
        <v>79</v>
      </c>
      <c r="I1" s="10" t="s">
        <v>80</v>
      </c>
      <c r="J1" s="10" t="s">
        <v>81</v>
      </c>
      <c r="K1" s="10" t="s">
        <v>82</v>
      </c>
      <c r="L1" s="10" t="s">
        <v>83</v>
      </c>
      <c r="M1" s="10" t="s">
        <v>84</v>
      </c>
      <c r="N1" s="10" t="s">
        <v>85</v>
      </c>
      <c r="O1" s="10" t="s">
        <v>86</v>
      </c>
      <c r="Q1" s="2" t="s">
        <v>87</v>
      </c>
    </row>
    <row r="2">
      <c r="A2" s="10" t="s">
        <v>88</v>
      </c>
      <c r="B2" s="2" t="s">
        <v>89</v>
      </c>
      <c r="C2" s="10" t="s">
        <v>90</v>
      </c>
      <c r="D2" s="10" t="s">
        <v>91</v>
      </c>
      <c r="E2" s="10" t="s">
        <v>92</v>
      </c>
      <c r="F2" s="10" t="s">
        <v>65</v>
      </c>
      <c r="G2" s="11">
        <v>1.2551295E7</v>
      </c>
      <c r="H2" s="11">
        <v>9.843356007E9</v>
      </c>
      <c r="I2" s="11">
        <v>10003.0</v>
      </c>
      <c r="J2" s="10" t="s">
        <v>93</v>
      </c>
      <c r="K2" s="10">
        <v>7.67927061348E11</v>
      </c>
      <c r="L2" s="11">
        <v>85.0</v>
      </c>
      <c r="M2" s="10" t="s">
        <v>94</v>
      </c>
      <c r="N2" s="10" t="s">
        <v>95</v>
      </c>
      <c r="O2" s="10" t="s">
        <v>96</v>
      </c>
      <c r="Q2" s="2" t="s">
        <v>97</v>
      </c>
    </row>
    <row r="3">
      <c r="A3" s="10" t="s">
        <v>88</v>
      </c>
      <c r="B3" s="2" t="s">
        <v>98</v>
      </c>
      <c r="C3" s="10" t="s">
        <v>99</v>
      </c>
      <c r="D3" s="10" t="s">
        <v>100</v>
      </c>
      <c r="E3" s="10" t="s">
        <v>101</v>
      </c>
      <c r="F3" s="10" t="s">
        <v>65</v>
      </c>
      <c r="G3" s="11">
        <v>1703777.0</v>
      </c>
      <c r="H3" s="11">
        <v>8.095568255E9</v>
      </c>
      <c r="I3" s="11">
        <v>10003.0</v>
      </c>
      <c r="J3" s="10" t="s">
        <v>93</v>
      </c>
      <c r="K3" s="10">
        <v>2.58952260234E11</v>
      </c>
      <c r="L3" s="11">
        <v>91.0</v>
      </c>
      <c r="M3" s="10" t="s">
        <v>102</v>
      </c>
      <c r="N3" s="10" t="s">
        <v>103</v>
      </c>
      <c r="Q3" s="2" t="s">
        <v>97</v>
      </c>
    </row>
    <row r="4">
      <c r="A4" s="10" t="s">
        <v>88</v>
      </c>
      <c r="B4" s="2" t="s">
        <v>98</v>
      </c>
      <c r="C4" s="10" t="s">
        <v>104</v>
      </c>
      <c r="D4" s="10" t="s">
        <v>105</v>
      </c>
      <c r="E4" s="10" t="s">
        <v>106</v>
      </c>
      <c r="F4" s="10" t="s">
        <v>65</v>
      </c>
      <c r="G4" s="11">
        <v>2289567.0</v>
      </c>
      <c r="H4" s="11">
        <v>9.535381266E9</v>
      </c>
      <c r="I4" s="11">
        <v>10003.0</v>
      </c>
      <c r="J4" s="10" t="s">
        <v>93</v>
      </c>
      <c r="K4" s="10">
        <v>3.39976735422E11</v>
      </c>
      <c r="L4" s="11">
        <v>88.0</v>
      </c>
      <c r="M4" s="10" t="s">
        <v>107</v>
      </c>
      <c r="N4" s="10" t="s">
        <v>108</v>
      </c>
      <c r="O4" s="10" t="s">
        <v>109</v>
      </c>
      <c r="Q4" s="2" t="s">
        <v>97</v>
      </c>
    </row>
    <row r="5">
      <c r="A5" s="10" t="s">
        <v>88</v>
      </c>
      <c r="B5" s="2" t="s">
        <v>98</v>
      </c>
      <c r="C5" s="10" t="s">
        <v>110</v>
      </c>
      <c r="D5" s="10" t="s">
        <v>111</v>
      </c>
      <c r="E5" s="10" t="s">
        <v>112</v>
      </c>
      <c r="F5" s="10" t="s">
        <v>65</v>
      </c>
      <c r="G5" s="11">
        <v>2.1412448E7</v>
      </c>
      <c r="H5" s="11">
        <v>9.994807745E9</v>
      </c>
      <c r="I5" s="11">
        <v>10003.0</v>
      </c>
      <c r="J5" s="10" t="s">
        <v>93</v>
      </c>
      <c r="K5" s="10">
        <v>8.60146169783E11</v>
      </c>
      <c r="L5" s="11">
        <v>82.0</v>
      </c>
      <c r="M5" s="10" t="s">
        <v>113</v>
      </c>
      <c r="O5" s="12"/>
      <c r="Q5" s="2" t="s">
        <v>97</v>
      </c>
    </row>
    <row r="6">
      <c r="A6" s="13" t="s">
        <v>88</v>
      </c>
      <c r="B6" s="14" t="s">
        <v>98</v>
      </c>
      <c r="C6" s="13" t="s">
        <v>114</v>
      </c>
      <c r="D6" s="13" t="s">
        <v>115</v>
      </c>
      <c r="E6" s="13" t="s">
        <v>116</v>
      </c>
      <c r="F6" s="15">
        <v>9.535381266E9</v>
      </c>
      <c r="G6" s="15">
        <v>1.7249551E7</v>
      </c>
      <c r="H6" s="15">
        <v>8.095568255E9</v>
      </c>
      <c r="I6" s="15">
        <v>10003.0</v>
      </c>
      <c r="J6" s="13" t="s">
        <v>93</v>
      </c>
      <c r="K6" s="13">
        <v>2.38182750766E11</v>
      </c>
      <c r="L6" s="15">
        <v>100.0</v>
      </c>
      <c r="M6" s="13" t="s">
        <v>117</v>
      </c>
      <c r="O6" s="1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0" t="s">
        <v>88</v>
      </c>
      <c r="B7" s="2" t="s">
        <v>98</v>
      </c>
      <c r="C7" s="10" t="s">
        <v>118</v>
      </c>
      <c r="D7" s="10" t="s">
        <v>119</v>
      </c>
      <c r="E7" s="10" t="s">
        <v>120</v>
      </c>
      <c r="F7" s="11">
        <v>9.159758704E9</v>
      </c>
      <c r="G7" s="11">
        <v>7379968.0</v>
      </c>
      <c r="H7" s="11">
        <v>8.095870306E9</v>
      </c>
      <c r="I7" s="11">
        <v>10003.0</v>
      </c>
      <c r="J7" s="10" t="s">
        <v>93</v>
      </c>
      <c r="K7" s="10">
        <v>2.29225915317E11</v>
      </c>
      <c r="L7" s="11">
        <v>78.0</v>
      </c>
      <c r="M7" s="10" t="s">
        <v>121</v>
      </c>
      <c r="N7" s="10" t="s">
        <v>122</v>
      </c>
      <c r="Q7" s="2" t="s">
        <v>97</v>
      </c>
    </row>
    <row r="8">
      <c r="A8" s="2" t="s">
        <v>8</v>
      </c>
      <c r="B8" s="2" t="s">
        <v>98</v>
      </c>
      <c r="C8" s="10" t="s">
        <v>123</v>
      </c>
      <c r="D8" s="10" t="s">
        <v>124</v>
      </c>
      <c r="E8" s="10" t="s">
        <v>125</v>
      </c>
      <c r="F8" s="10" t="s">
        <v>65</v>
      </c>
      <c r="G8" s="11">
        <v>1.6668428E7</v>
      </c>
      <c r="H8" s="11">
        <v>9.865643639E9</v>
      </c>
      <c r="I8" s="11">
        <v>10003.0</v>
      </c>
      <c r="J8" s="10" t="s">
        <v>93</v>
      </c>
      <c r="K8" s="10">
        <v>5.46324523485E11</v>
      </c>
      <c r="L8" s="11">
        <v>100.0</v>
      </c>
      <c r="M8" s="10" t="s">
        <v>126</v>
      </c>
      <c r="N8" s="10" t="s">
        <v>127</v>
      </c>
      <c r="O8" s="10" t="s">
        <v>128</v>
      </c>
      <c r="Q8" s="2" t="s">
        <v>97</v>
      </c>
    </row>
    <row r="9">
      <c r="A9" s="10" t="s">
        <v>88</v>
      </c>
      <c r="B9" s="2" t="s">
        <v>89</v>
      </c>
      <c r="C9" s="10" t="s">
        <v>129</v>
      </c>
      <c r="D9" s="10" t="s">
        <v>130</v>
      </c>
      <c r="E9" s="10" t="s">
        <v>131</v>
      </c>
      <c r="F9" s="11">
        <v>6.366369301E9</v>
      </c>
      <c r="G9" s="11">
        <v>1.2880451E7</v>
      </c>
      <c r="H9" s="11">
        <v>9.095511363E9</v>
      </c>
      <c r="I9" s="11">
        <v>10003.0</v>
      </c>
      <c r="J9" s="10" t="s">
        <v>93</v>
      </c>
      <c r="K9" s="10">
        <v>2.60084991903E11</v>
      </c>
      <c r="L9" s="11">
        <v>90.0</v>
      </c>
      <c r="M9" s="10" t="s">
        <v>132</v>
      </c>
      <c r="N9" s="10" t="s">
        <v>133</v>
      </c>
      <c r="O9" s="10" t="s">
        <v>134</v>
      </c>
      <c r="Q9" s="2" t="s">
        <v>135</v>
      </c>
    </row>
    <row r="10">
      <c r="A10" s="2" t="s">
        <v>8</v>
      </c>
      <c r="B10" s="2" t="s">
        <v>98</v>
      </c>
      <c r="C10" s="10" t="s">
        <v>136</v>
      </c>
      <c r="D10" s="10" t="s">
        <v>137</v>
      </c>
      <c r="E10" s="10" t="s">
        <v>138</v>
      </c>
      <c r="F10" s="11">
        <v>9.865643639E9</v>
      </c>
      <c r="G10" s="11">
        <v>1.8476059E7</v>
      </c>
      <c r="H10" s="11">
        <v>7.01010482E9</v>
      </c>
      <c r="I10" s="11">
        <v>10007.0</v>
      </c>
      <c r="J10" s="10" t="s">
        <v>139</v>
      </c>
      <c r="K10" s="10" t="s">
        <v>140</v>
      </c>
      <c r="L10" s="11">
        <v>67.0</v>
      </c>
      <c r="M10" s="12"/>
      <c r="N10" s="12"/>
      <c r="O10" s="12"/>
    </row>
    <row r="11">
      <c r="A11" s="18" t="s">
        <v>8</v>
      </c>
      <c r="B11" s="18" t="s">
        <v>98</v>
      </c>
      <c r="C11" s="10" t="s">
        <v>141</v>
      </c>
      <c r="D11" s="19" t="s">
        <v>142</v>
      </c>
      <c r="E11" s="19" t="s">
        <v>142</v>
      </c>
      <c r="F11" s="19" t="s">
        <v>143</v>
      </c>
      <c r="G11" s="19" t="s">
        <v>143</v>
      </c>
      <c r="H11" s="19" t="s">
        <v>142</v>
      </c>
      <c r="I11" s="20"/>
      <c r="J11" s="20"/>
      <c r="K11" s="21"/>
      <c r="L11" s="11">
        <v>0.0</v>
      </c>
      <c r="M11" s="10" t="s">
        <v>144</v>
      </c>
      <c r="N11" s="20"/>
      <c r="O11" s="20"/>
    </row>
    <row r="12">
      <c r="A12" s="2" t="s">
        <v>8</v>
      </c>
      <c r="B12" s="2" t="s">
        <v>89</v>
      </c>
      <c r="C12" s="10" t="s">
        <v>145</v>
      </c>
      <c r="D12" s="10" t="s">
        <v>146</v>
      </c>
      <c r="E12" s="10" t="s">
        <v>125</v>
      </c>
      <c r="F12" s="11">
        <v>9.159758704E9</v>
      </c>
      <c r="G12" s="11">
        <v>7325553.0</v>
      </c>
      <c r="H12" s="11">
        <v>9.159758704E9</v>
      </c>
      <c r="I12" s="11">
        <v>10003.0</v>
      </c>
      <c r="J12" s="10" t="s">
        <v>93</v>
      </c>
      <c r="K12" s="10">
        <v>5.80704541867E11</v>
      </c>
      <c r="L12" s="11">
        <v>73.0</v>
      </c>
      <c r="M12" s="10" t="s">
        <v>147</v>
      </c>
      <c r="Q12" s="2" t="s">
        <v>97</v>
      </c>
    </row>
    <row r="13">
      <c r="A13" s="2" t="s">
        <v>8</v>
      </c>
      <c r="B13" s="2" t="s">
        <v>98</v>
      </c>
      <c r="C13" s="10" t="s">
        <v>148</v>
      </c>
      <c r="D13" s="10" t="s">
        <v>149</v>
      </c>
      <c r="E13" s="10" t="s">
        <v>150</v>
      </c>
      <c r="F13" s="10" t="s">
        <v>68</v>
      </c>
      <c r="G13" s="11">
        <v>1.8858695E7</v>
      </c>
      <c r="H13" s="11">
        <v>9.095511363E9</v>
      </c>
      <c r="I13" s="11">
        <v>10007.0</v>
      </c>
      <c r="J13" s="10" t="s">
        <v>139</v>
      </c>
      <c r="K13" s="10" t="s">
        <v>151</v>
      </c>
      <c r="L13" s="11">
        <v>58.0</v>
      </c>
      <c r="M13" s="10" t="s">
        <v>152</v>
      </c>
      <c r="N13" s="10" t="s">
        <v>153</v>
      </c>
      <c r="O13" s="10" t="s">
        <v>154</v>
      </c>
    </row>
    <row r="14">
      <c r="A14" s="2" t="s">
        <v>8</v>
      </c>
      <c r="B14" s="2" t="s">
        <v>89</v>
      </c>
      <c r="C14" s="10" t="s">
        <v>155</v>
      </c>
      <c r="D14" s="10" t="s">
        <v>156</v>
      </c>
      <c r="E14" s="10" t="s">
        <v>157</v>
      </c>
      <c r="F14" s="11">
        <v>6.366369301E9</v>
      </c>
      <c r="G14" s="11">
        <v>1.7255771E7</v>
      </c>
      <c r="H14" s="11">
        <v>9.159758704E9</v>
      </c>
      <c r="I14" s="11">
        <v>10003.0</v>
      </c>
      <c r="J14" s="10" t="s">
        <v>93</v>
      </c>
      <c r="K14" s="10">
        <v>2.28082827489E11</v>
      </c>
      <c r="L14" s="11">
        <v>83.0</v>
      </c>
      <c r="M14" s="10" t="s">
        <v>158</v>
      </c>
    </row>
    <row r="15">
      <c r="A15" s="2" t="s">
        <v>159</v>
      </c>
      <c r="B15" s="2" t="s">
        <v>98</v>
      </c>
      <c r="C15" s="10" t="s">
        <v>160</v>
      </c>
      <c r="D15" s="10" t="s">
        <v>161</v>
      </c>
      <c r="E15" s="10" t="s">
        <v>162</v>
      </c>
      <c r="F15" s="11">
        <v>9.159758704E9</v>
      </c>
      <c r="G15" s="11">
        <v>1.7249551E7</v>
      </c>
      <c r="H15" s="11">
        <v>8.095568255E9</v>
      </c>
      <c r="I15" s="11">
        <v>10003.0</v>
      </c>
      <c r="J15" s="10" t="s">
        <v>93</v>
      </c>
      <c r="K15" s="10">
        <v>5.42973751779E11</v>
      </c>
      <c r="L15" s="11">
        <v>50.0</v>
      </c>
      <c r="M15" s="20"/>
      <c r="N15" s="20"/>
      <c r="O15" s="20"/>
    </row>
    <row r="16">
      <c r="A16" s="10" t="s">
        <v>163</v>
      </c>
      <c r="B16" s="2" t="s">
        <v>89</v>
      </c>
      <c r="C16" s="10" t="s">
        <v>163</v>
      </c>
      <c r="D16" s="10" t="s">
        <v>164</v>
      </c>
      <c r="E16" s="10" t="s">
        <v>165</v>
      </c>
      <c r="F16" s="11">
        <v>6.366369301E9</v>
      </c>
      <c r="G16" s="11">
        <v>1.994639E7</v>
      </c>
      <c r="H16" s="11">
        <v>9.003334153E9</v>
      </c>
      <c r="I16" s="11">
        <v>10003.0</v>
      </c>
      <c r="J16" s="10" t="s">
        <v>93</v>
      </c>
      <c r="K16" s="10">
        <v>5.81513214586E11</v>
      </c>
      <c r="L16" s="11">
        <v>100.0</v>
      </c>
      <c r="M16" s="12"/>
      <c r="N16" s="12"/>
      <c r="O16" s="12"/>
      <c r="Q16" s="2" t="s">
        <v>97</v>
      </c>
    </row>
    <row r="17">
      <c r="A17" s="10" t="s">
        <v>163</v>
      </c>
      <c r="B17" s="2" t="s">
        <v>89</v>
      </c>
      <c r="C17" s="10" t="s">
        <v>166</v>
      </c>
      <c r="D17" s="10" t="s">
        <v>167</v>
      </c>
      <c r="E17" s="10" t="s">
        <v>168</v>
      </c>
      <c r="F17" s="11">
        <v>6.366369301E9</v>
      </c>
      <c r="G17" s="11">
        <v>1.9946723E7</v>
      </c>
      <c r="H17" s="11">
        <v>9.003334153E9</v>
      </c>
      <c r="I17" s="11">
        <v>10003.0</v>
      </c>
      <c r="J17" s="10" t="s">
        <v>93</v>
      </c>
      <c r="K17" s="10">
        <v>8.76686887618E11</v>
      </c>
      <c r="L17" s="11">
        <v>90.0</v>
      </c>
      <c r="M17" s="12"/>
      <c r="N17" s="12"/>
      <c r="O17" s="12"/>
      <c r="Q17" s="2" t="s">
        <v>97</v>
      </c>
    </row>
    <row r="18">
      <c r="A18" s="10" t="s">
        <v>169</v>
      </c>
      <c r="B18" s="2" t="s">
        <v>89</v>
      </c>
      <c r="C18" s="10" t="s">
        <v>170</v>
      </c>
      <c r="D18" s="10" t="s">
        <v>171</v>
      </c>
      <c r="E18" s="10" t="s">
        <v>165</v>
      </c>
      <c r="F18" s="11">
        <v>9.159758704E9</v>
      </c>
      <c r="G18" s="11">
        <v>1.2602554E7</v>
      </c>
      <c r="H18" s="11">
        <v>8.66801499E9</v>
      </c>
      <c r="I18" s="11">
        <v>10003.0</v>
      </c>
      <c r="J18" s="10" t="s">
        <v>93</v>
      </c>
      <c r="K18" s="10">
        <v>4.49921096811E11</v>
      </c>
      <c r="L18" s="11">
        <v>83.0</v>
      </c>
      <c r="M18" s="10" t="s">
        <v>172</v>
      </c>
      <c r="N18" s="10" t="s">
        <v>173</v>
      </c>
      <c r="O18" s="10" t="s">
        <v>174</v>
      </c>
      <c r="Q18" s="2" t="s">
        <v>97</v>
      </c>
    </row>
    <row r="19">
      <c r="A19" s="10" t="s">
        <v>169</v>
      </c>
      <c r="B19" s="2" t="s">
        <v>98</v>
      </c>
      <c r="C19" s="10" t="s">
        <v>175</v>
      </c>
      <c r="D19" s="10" t="s">
        <v>176</v>
      </c>
      <c r="E19" s="10" t="s">
        <v>177</v>
      </c>
      <c r="F19" s="10" t="s">
        <v>68</v>
      </c>
      <c r="G19" s="11">
        <v>1.8839691E7</v>
      </c>
      <c r="H19" s="11">
        <v>8.095568255E9</v>
      </c>
      <c r="I19" s="11">
        <v>10003.0</v>
      </c>
      <c r="J19" s="10" t="s">
        <v>93</v>
      </c>
      <c r="K19" s="10">
        <v>9.1525048872E11</v>
      </c>
      <c r="L19" s="11">
        <v>67.0</v>
      </c>
      <c r="M19" s="10" t="s">
        <v>178</v>
      </c>
      <c r="N19" s="10" t="s">
        <v>179</v>
      </c>
      <c r="O19" s="10" t="s">
        <v>180</v>
      </c>
    </row>
    <row r="20">
      <c r="A20" s="10" t="s">
        <v>169</v>
      </c>
      <c r="B20" s="2" t="s">
        <v>98</v>
      </c>
      <c r="C20" s="10" t="s">
        <v>169</v>
      </c>
      <c r="D20" s="10" t="s">
        <v>181</v>
      </c>
      <c r="E20" s="10" t="s">
        <v>182</v>
      </c>
      <c r="F20" s="10" t="s">
        <v>65</v>
      </c>
      <c r="G20" s="11">
        <v>7256130.0</v>
      </c>
      <c r="H20" s="11">
        <v>6.366369301E9</v>
      </c>
      <c r="I20" s="11">
        <v>10003.0</v>
      </c>
      <c r="J20" s="10" t="s">
        <v>93</v>
      </c>
      <c r="K20" s="10">
        <v>2.55893008074E11</v>
      </c>
      <c r="L20" s="11">
        <v>71.0</v>
      </c>
      <c r="M20" s="10" t="s">
        <v>183</v>
      </c>
      <c r="O20" s="20"/>
      <c r="Q20" s="2" t="s">
        <v>97</v>
      </c>
    </row>
    <row r="21">
      <c r="A21" s="10" t="s">
        <v>184</v>
      </c>
      <c r="B21" s="2" t="s">
        <v>98</v>
      </c>
      <c r="C21" s="10" t="s">
        <v>184</v>
      </c>
      <c r="D21" s="10" t="s">
        <v>185</v>
      </c>
      <c r="E21" s="10" t="s">
        <v>186</v>
      </c>
      <c r="F21" s="10" t="s">
        <v>68</v>
      </c>
      <c r="G21" s="11">
        <v>1.8811701E7</v>
      </c>
      <c r="H21" s="11">
        <v>7.339428498E9</v>
      </c>
      <c r="I21" s="11">
        <v>10007.0</v>
      </c>
      <c r="J21" s="10" t="s">
        <v>139</v>
      </c>
      <c r="K21" s="10" t="s">
        <v>187</v>
      </c>
      <c r="L21" s="11">
        <v>80.0</v>
      </c>
      <c r="M21" s="20"/>
      <c r="N21" s="20"/>
      <c r="O21" s="20"/>
      <c r="Q21" s="2" t="s">
        <v>97</v>
      </c>
    </row>
    <row r="22">
      <c r="A22" s="2" t="s">
        <v>188</v>
      </c>
      <c r="B22" s="2" t="s">
        <v>98</v>
      </c>
      <c r="C22" s="10" t="s">
        <v>189</v>
      </c>
      <c r="D22" s="10" t="s">
        <v>190</v>
      </c>
      <c r="E22" s="10" t="s">
        <v>191</v>
      </c>
      <c r="F22" s="11">
        <v>9.159758704E9</v>
      </c>
      <c r="G22" s="11">
        <v>7452200.0</v>
      </c>
      <c r="H22" s="20"/>
      <c r="I22" s="11">
        <v>10003.0</v>
      </c>
      <c r="J22" s="10" t="s">
        <v>93</v>
      </c>
      <c r="K22" s="10">
        <v>5.19585934161E11</v>
      </c>
      <c r="L22" s="11">
        <v>64.0</v>
      </c>
      <c r="M22" s="10" t="s">
        <v>192</v>
      </c>
      <c r="N22" s="20"/>
      <c r="O22" s="20"/>
    </row>
    <row r="23">
      <c r="A23" s="2" t="s">
        <v>188</v>
      </c>
      <c r="B23" s="2" t="s">
        <v>89</v>
      </c>
      <c r="C23" s="10" t="s">
        <v>193</v>
      </c>
      <c r="D23" s="10" t="s">
        <v>181</v>
      </c>
      <c r="E23" s="10" t="s">
        <v>182</v>
      </c>
      <c r="F23" s="10" t="s">
        <v>65</v>
      </c>
      <c r="G23" s="11">
        <v>7256130.0</v>
      </c>
      <c r="H23" s="11">
        <v>6.366369301E9</v>
      </c>
      <c r="I23" s="11">
        <v>10003.0</v>
      </c>
      <c r="J23" s="10" t="s">
        <v>93</v>
      </c>
      <c r="K23" s="10">
        <v>2.55893008074E11</v>
      </c>
      <c r="L23" s="11">
        <v>82.0</v>
      </c>
      <c r="M23" s="10" t="s">
        <v>194</v>
      </c>
      <c r="O23" s="20"/>
      <c r="Q23" s="2" t="s">
        <v>97</v>
      </c>
    </row>
    <row r="24">
      <c r="A24" s="10" t="s">
        <v>195</v>
      </c>
      <c r="B24" s="2" t="s">
        <v>89</v>
      </c>
      <c r="C24" s="10" t="s">
        <v>196</v>
      </c>
      <c r="D24" s="10" t="s">
        <v>197</v>
      </c>
      <c r="E24" s="10" t="s">
        <v>198</v>
      </c>
      <c r="F24" s="11">
        <v>9.535381266E9</v>
      </c>
      <c r="G24" s="11">
        <v>1.7426935E7</v>
      </c>
      <c r="H24" s="11">
        <v>8.095568255E9</v>
      </c>
      <c r="I24" s="11">
        <v>10003.0</v>
      </c>
      <c r="J24" s="10" t="s">
        <v>93</v>
      </c>
      <c r="K24" s="10">
        <v>9.67465847485E11</v>
      </c>
      <c r="L24" s="11">
        <v>88.0</v>
      </c>
      <c r="M24" s="10" t="s">
        <v>199</v>
      </c>
    </row>
    <row r="25">
      <c r="A25" s="10" t="s">
        <v>195</v>
      </c>
      <c r="B25" s="2" t="s">
        <v>89</v>
      </c>
      <c r="C25" s="10" t="s">
        <v>200</v>
      </c>
      <c r="D25" s="10" t="s">
        <v>201</v>
      </c>
      <c r="E25" s="10" t="s">
        <v>125</v>
      </c>
      <c r="F25" s="11">
        <v>9.865643639E9</v>
      </c>
      <c r="G25" s="11">
        <v>1.8237643E7</v>
      </c>
      <c r="H25" s="11">
        <v>9.79100877E9</v>
      </c>
      <c r="I25" s="11">
        <v>10003.0</v>
      </c>
      <c r="J25" s="10" t="s">
        <v>93</v>
      </c>
      <c r="K25" s="10">
        <v>3.00434305168E11</v>
      </c>
      <c r="L25" s="11">
        <v>45.0</v>
      </c>
      <c r="M25" s="20"/>
      <c r="N25" s="20"/>
      <c r="O25" s="20"/>
    </row>
    <row r="26">
      <c r="A26" s="2" t="s">
        <v>202</v>
      </c>
      <c r="B26" s="2" t="s">
        <v>98</v>
      </c>
      <c r="C26" s="10" t="s">
        <v>29</v>
      </c>
      <c r="D26" s="10" t="s">
        <v>203</v>
      </c>
      <c r="E26" s="10" t="s">
        <v>204</v>
      </c>
      <c r="F26" s="11">
        <v>9.159758704E9</v>
      </c>
      <c r="G26" s="11">
        <v>7355729.0</v>
      </c>
      <c r="H26" s="11">
        <v>9.578327597E9</v>
      </c>
      <c r="I26" s="11">
        <v>10003.0</v>
      </c>
      <c r="J26" s="10" t="s">
        <v>93</v>
      </c>
      <c r="K26" s="10">
        <v>3.08502820166E11</v>
      </c>
      <c r="L26" s="11">
        <v>91.0</v>
      </c>
      <c r="M26" s="20"/>
      <c r="N26" s="20"/>
      <c r="O26" s="20"/>
      <c r="Q26" s="2" t="s">
        <v>97</v>
      </c>
    </row>
    <row r="27">
      <c r="A27" s="18" t="s">
        <v>202</v>
      </c>
      <c r="B27" s="18" t="s">
        <v>98</v>
      </c>
      <c r="C27" s="10" t="s">
        <v>30</v>
      </c>
      <c r="D27" s="19" t="s">
        <v>142</v>
      </c>
      <c r="E27" s="19" t="s">
        <v>142</v>
      </c>
      <c r="F27" s="19" t="s">
        <v>143</v>
      </c>
      <c r="G27" s="19" t="s">
        <v>143</v>
      </c>
      <c r="H27" s="19" t="s">
        <v>142</v>
      </c>
      <c r="I27" s="20"/>
      <c r="J27" s="20"/>
      <c r="K27" s="21"/>
      <c r="L27" s="11">
        <v>0.0</v>
      </c>
      <c r="M27" s="10"/>
      <c r="O27" s="20"/>
    </row>
    <row r="28">
      <c r="A28" s="10" t="s">
        <v>205</v>
      </c>
      <c r="B28" s="2" t="s">
        <v>89</v>
      </c>
      <c r="C28" s="10" t="s">
        <v>205</v>
      </c>
      <c r="D28" s="10" t="s">
        <v>204</v>
      </c>
      <c r="E28" s="10" t="s">
        <v>206</v>
      </c>
      <c r="F28" s="11">
        <v>9.865643639E9</v>
      </c>
      <c r="G28" s="11">
        <v>8245513.0</v>
      </c>
      <c r="H28" s="20"/>
      <c r="I28" s="11">
        <v>10003.0</v>
      </c>
      <c r="J28" s="10" t="s">
        <v>93</v>
      </c>
      <c r="K28" s="10">
        <v>8.14783935518E11</v>
      </c>
      <c r="L28" s="11">
        <v>89.0</v>
      </c>
      <c r="M28" s="10" t="s">
        <v>207</v>
      </c>
      <c r="N28" s="10" t="s">
        <v>208</v>
      </c>
    </row>
    <row r="29">
      <c r="A29" s="10" t="s">
        <v>205</v>
      </c>
      <c r="B29" s="2" t="s">
        <v>89</v>
      </c>
      <c r="C29" s="10" t="s">
        <v>209</v>
      </c>
      <c r="D29" s="10" t="s">
        <v>210</v>
      </c>
      <c r="E29" s="10" t="s">
        <v>204</v>
      </c>
      <c r="F29" s="11">
        <v>9.865643639E9</v>
      </c>
      <c r="G29" s="11">
        <v>8245897.0</v>
      </c>
      <c r="H29" s="20"/>
      <c r="I29" s="11">
        <v>10003.0</v>
      </c>
      <c r="J29" s="10" t="s">
        <v>93</v>
      </c>
      <c r="K29" s="10">
        <v>7.26849698219E11</v>
      </c>
      <c r="L29" s="11">
        <v>87.0</v>
      </c>
      <c r="M29" s="12"/>
      <c r="N29" s="12"/>
      <c r="O29" s="12"/>
    </row>
    <row r="30">
      <c r="A30" s="10" t="s">
        <v>205</v>
      </c>
      <c r="B30" s="2" t="s">
        <v>89</v>
      </c>
      <c r="C30" s="10" t="s">
        <v>211</v>
      </c>
      <c r="D30" s="10" t="s">
        <v>212</v>
      </c>
      <c r="E30" s="10" t="s">
        <v>213</v>
      </c>
      <c r="F30" s="11">
        <v>6.366369301E9</v>
      </c>
      <c r="G30" s="11">
        <v>1.7256262E7</v>
      </c>
      <c r="H30" s="11">
        <v>8.667430421E9</v>
      </c>
      <c r="I30" s="11">
        <v>10003.0</v>
      </c>
      <c r="J30" s="10" t="s">
        <v>93</v>
      </c>
      <c r="K30" s="10">
        <v>6.45290102988E11</v>
      </c>
      <c r="L30" s="11">
        <v>88.0</v>
      </c>
      <c r="M30" s="20"/>
      <c r="N30" s="20"/>
      <c r="O30" s="20"/>
    </row>
    <row r="31">
      <c r="A31" s="10" t="s">
        <v>214</v>
      </c>
      <c r="B31" s="2" t="s">
        <v>98</v>
      </c>
      <c r="C31" s="10" t="s">
        <v>214</v>
      </c>
      <c r="D31" s="10" t="s">
        <v>124</v>
      </c>
      <c r="E31" s="10" t="s">
        <v>206</v>
      </c>
      <c r="F31" s="10" t="s">
        <v>68</v>
      </c>
      <c r="G31" s="11">
        <v>1.8668349E7</v>
      </c>
      <c r="H31" s="11">
        <v>8.095568255E9</v>
      </c>
      <c r="I31" s="11">
        <v>10007.0</v>
      </c>
      <c r="J31" s="10" t="s">
        <v>139</v>
      </c>
      <c r="K31" s="10" t="s">
        <v>215</v>
      </c>
      <c r="L31" s="11">
        <v>67.0</v>
      </c>
      <c r="M31" s="10" t="s">
        <v>216</v>
      </c>
      <c r="N31" s="10" t="s">
        <v>217</v>
      </c>
      <c r="O31" s="10" t="s">
        <v>218</v>
      </c>
    </row>
    <row r="32">
      <c r="A32" s="10" t="s">
        <v>214</v>
      </c>
      <c r="B32" s="2" t="s">
        <v>98</v>
      </c>
      <c r="C32" s="10" t="s">
        <v>35</v>
      </c>
      <c r="D32" s="10" t="s">
        <v>219</v>
      </c>
      <c r="E32" s="10" t="s">
        <v>124</v>
      </c>
      <c r="F32" s="11">
        <v>6.366369301E9</v>
      </c>
      <c r="G32" s="11">
        <v>1.2741568E7</v>
      </c>
      <c r="H32" s="11">
        <v>9.363322084E9</v>
      </c>
      <c r="I32" s="11">
        <v>10003.0</v>
      </c>
      <c r="J32" s="10" t="s">
        <v>93</v>
      </c>
      <c r="K32" s="10">
        <v>3.82008428311E11</v>
      </c>
      <c r="L32" s="11">
        <v>83.0</v>
      </c>
      <c r="M32" s="10" t="s">
        <v>220</v>
      </c>
      <c r="O32" s="12"/>
    </row>
    <row r="33">
      <c r="A33" s="2" t="s">
        <v>8</v>
      </c>
      <c r="B33" s="2" t="s">
        <v>98</v>
      </c>
      <c r="C33" s="10" t="s">
        <v>221</v>
      </c>
      <c r="D33" s="10" t="s">
        <v>222</v>
      </c>
      <c r="E33" s="10" t="s">
        <v>223</v>
      </c>
      <c r="F33" s="10" t="s">
        <v>65</v>
      </c>
      <c r="G33" s="11">
        <v>2595948.0</v>
      </c>
      <c r="H33" s="11">
        <v>8.07259032E9</v>
      </c>
      <c r="I33" s="11">
        <v>10007.0</v>
      </c>
      <c r="J33" s="10" t="s">
        <v>139</v>
      </c>
      <c r="K33" s="10" t="s">
        <v>224</v>
      </c>
      <c r="L33" s="11">
        <v>88.0</v>
      </c>
      <c r="M33" s="10" t="s">
        <v>225</v>
      </c>
    </row>
    <row r="34">
      <c r="A34" s="10" t="s">
        <v>37</v>
      </c>
      <c r="B34" s="2" t="s">
        <v>226</v>
      </c>
      <c r="C34" s="10" t="s">
        <v>37</v>
      </c>
      <c r="D34" s="10" t="s">
        <v>227</v>
      </c>
      <c r="E34" s="10" t="s">
        <v>150</v>
      </c>
      <c r="F34" s="11">
        <v>9.865643639E9</v>
      </c>
      <c r="G34" s="11">
        <v>1.7645193E7</v>
      </c>
      <c r="H34" s="11">
        <v>6.385699208E9</v>
      </c>
      <c r="I34" s="11">
        <v>10003.0</v>
      </c>
      <c r="J34" s="10" t="s">
        <v>93</v>
      </c>
      <c r="K34" s="10">
        <v>2.34021115539E11</v>
      </c>
      <c r="L34" s="11">
        <v>67.0</v>
      </c>
      <c r="M34" s="10" t="s">
        <v>228</v>
      </c>
      <c r="N34" s="10" t="s">
        <v>229</v>
      </c>
    </row>
    <row r="35">
      <c r="A35" s="10" t="s">
        <v>230</v>
      </c>
      <c r="B35" s="2" t="s">
        <v>89</v>
      </c>
      <c r="C35" s="10" t="s">
        <v>231</v>
      </c>
      <c r="D35" s="10" t="s">
        <v>230</v>
      </c>
      <c r="E35" s="10" t="s">
        <v>232</v>
      </c>
      <c r="F35" s="11">
        <v>6.366369301E9</v>
      </c>
      <c r="G35" s="11">
        <v>1.2647014E7</v>
      </c>
      <c r="H35" s="11">
        <v>9.384238407E9</v>
      </c>
      <c r="I35" s="11">
        <v>10003.0</v>
      </c>
      <c r="J35" s="10" t="s">
        <v>93</v>
      </c>
      <c r="K35" s="10">
        <v>3.67066880128E11</v>
      </c>
      <c r="L35" s="11">
        <v>70.0</v>
      </c>
      <c r="M35" s="10" t="s">
        <v>233</v>
      </c>
      <c r="O35" s="12"/>
    </row>
    <row r="36">
      <c r="A36" s="2" t="s">
        <v>234</v>
      </c>
      <c r="B36" s="2" t="s">
        <v>98</v>
      </c>
      <c r="C36" s="10" t="s">
        <v>235</v>
      </c>
      <c r="D36" s="10" t="s">
        <v>236</v>
      </c>
      <c r="E36" s="10" t="s">
        <v>171</v>
      </c>
      <c r="F36" s="11">
        <v>9.159758704E9</v>
      </c>
      <c r="G36" s="11">
        <v>7326041.0</v>
      </c>
      <c r="H36" s="11">
        <v>9.159722324E9</v>
      </c>
      <c r="I36" s="11">
        <v>10003.0</v>
      </c>
      <c r="J36" s="10" t="s">
        <v>93</v>
      </c>
      <c r="K36" s="10">
        <v>3.90169281104E11</v>
      </c>
      <c r="L36" s="11">
        <v>91.0</v>
      </c>
      <c r="M36" s="10" t="s">
        <v>237</v>
      </c>
      <c r="N36" s="10" t="s">
        <v>238</v>
      </c>
      <c r="O36" s="10" t="s">
        <v>239</v>
      </c>
    </row>
    <row r="37">
      <c r="A37" s="2" t="s">
        <v>88</v>
      </c>
      <c r="B37" s="2" t="s">
        <v>89</v>
      </c>
      <c r="C37" s="10" t="s">
        <v>240</v>
      </c>
      <c r="D37" s="10" t="s">
        <v>241</v>
      </c>
      <c r="E37" s="10" t="s">
        <v>242</v>
      </c>
      <c r="F37" s="11">
        <v>9.865643639E9</v>
      </c>
      <c r="G37" s="11">
        <v>8245305.0</v>
      </c>
      <c r="H37" s="12"/>
      <c r="I37" s="11">
        <v>10003.0</v>
      </c>
      <c r="J37" s="10" t="s">
        <v>93</v>
      </c>
      <c r="K37" s="10">
        <v>8.44806719409E11</v>
      </c>
      <c r="L37" s="11">
        <v>79.0</v>
      </c>
      <c r="M37" s="12"/>
      <c r="N37" s="12"/>
      <c r="O37" s="12"/>
      <c r="Q37" s="2" t="s">
        <v>97</v>
      </c>
    </row>
    <row r="38">
      <c r="A38" s="2" t="s">
        <v>243</v>
      </c>
      <c r="B38" s="2" t="s">
        <v>89</v>
      </c>
      <c r="C38" s="10" t="s">
        <v>243</v>
      </c>
      <c r="D38" s="10" t="s">
        <v>244</v>
      </c>
      <c r="E38" s="10" t="s">
        <v>206</v>
      </c>
      <c r="F38" s="11">
        <v>9.159758704E9</v>
      </c>
      <c r="G38" s="11">
        <v>7379577.0</v>
      </c>
      <c r="H38" s="12"/>
      <c r="I38" s="11">
        <v>10003.0</v>
      </c>
      <c r="J38" s="10" t="s">
        <v>93</v>
      </c>
      <c r="K38" s="10">
        <v>6.1345942743E11</v>
      </c>
      <c r="L38" s="11">
        <v>83.0</v>
      </c>
      <c r="M38" s="10" t="s">
        <v>245</v>
      </c>
      <c r="N38" s="10" t="s">
        <v>246</v>
      </c>
    </row>
    <row r="39">
      <c r="A39" s="2" t="s">
        <v>243</v>
      </c>
      <c r="B39" s="2" t="s">
        <v>89</v>
      </c>
      <c r="C39" s="10" t="s">
        <v>247</v>
      </c>
      <c r="D39" s="10" t="s">
        <v>248</v>
      </c>
      <c r="E39" s="10" t="s">
        <v>249</v>
      </c>
      <c r="F39" s="11">
        <v>9.535381266E9</v>
      </c>
      <c r="G39" s="11">
        <v>8101174.0</v>
      </c>
      <c r="H39" s="11">
        <v>9.698924678E9</v>
      </c>
      <c r="I39" s="11">
        <v>10003.0</v>
      </c>
      <c r="J39" s="10" t="s">
        <v>93</v>
      </c>
      <c r="K39" s="10">
        <v>4.77860897507E11</v>
      </c>
      <c r="L39" s="11">
        <v>78.0</v>
      </c>
      <c r="M39" s="12"/>
      <c r="N39" s="12"/>
      <c r="O39" s="12"/>
    </row>
    <row r="40">
      <c r="A40" s="2" t="s">
        <v>184</v>
      </c>
      <c r="B40" s="2" t="s">
        <v>98</v>
      </c>
      <c r="C40" s="10" t="s">
        <v>250</v>
      </c>
      <c r="D40" s="10" t="s">
        <v>251</v>
      </c>
      <c r="E40" s="10" t="s">
        <v>206</v>
      </c>
      <c r="F40" s="11">
        <v>9.810026891E9</v>
      </c>
      <c r="G40" s="11">
        <v>1.8667983E7</v>
      </c>
      <c r="H40" s="11">
        <v>9.810026891E9</v>
      </c>
      <c r="I40" s="11">
        <v>10007.0</v>
      </c>
      <c r="J40" s="10" t="s">
        <v>139</v>
      </c>
      <c r="K40" s="10" t="s">
        <v>252</v>
      </c>
      <c r="L40" s="11">
        <v>78.0</v>
      </c>
      <c r="M40" s="10" t="s">
        <v>253</v>
      </c>
      <c r="O40" s="12"/>
    </row>
    <row r="41">
      <c r="A41" s="2" t="s">
        <v>184</v>
      </c>
      <c r="B41" s="2" t="s">
        <v>226</v>
      </c>
      <c r="C41" s="10" t="s">
        <v>254</v>
      </c>
      <c r="D41" s="10" t="s">
        <v>227</v>
      </c>
      <c r="E41" s="10" t="s">
        <v>150</v>
      </c>
      <c r="F41" s="11">
        <v>9.865643639E9</v>
      </c>
      <c r="G41" s="11">
        <v>1.7645193E7</v>
      </c>
      <c r="H41" s="11">
        <v>6.385699208E9</v>
      </c>
      <c r="I41" s="11">
        <v>10003.0</v>
      </c>
      <c r="J41" s="10" t="s">
        <v>93</v>
      </c>
      <c r="K41" s="10">
        <v>2.34021115539E11</v>
      </c>
      <c r="L41" s="11">
        <v>91.0</v>
      </c>
      <c r="M41" s="10" t="s">
        <v>255</v>
      </c>
      <c r="N41" s="10" t="s">
        <v>256</v>
      </c>
    </row>
    <row r="42">
      <c r="A42" s="2" t="s">
        <v>88</v>
      </c>
      <c r="B42" s="2" t="s">
        <v>98</v>
      </c>
      <c r="C42" s="10" t="s">
        <v>257</v>
      </c>
      <c r="D42" s="10" t="s">
        <v>258</v>
      </c>
      <c r="E42" s="10" t="s">
        <v>259</v>
      </c>
      <c r="F42" s="10" t="s">
        <v>65</v>
      </c>
      <c r="G42" s="11">
        <v>1.6630619E7</v>
      </c>
      <c r="H42" s="11">
        <v>9.980990391E9</v>
      </c>
      <c r="I42" s="11">
        <v>10003.0</v>
      </c>
      <c r="J42" s="10" t="s">
        <v>93</v>
      </c>
      <c r="K42" s="10">
        <v>7.65977945387E11</v>
      </c>
      <c r="L42" s="11">
        <v>91.0</v>
      </c>
      <c r="M42" s="10" t="s">
        <v>260</v>
      </c>
      <c r="N42" s="10" t="s">
        <v>261</v>
      </c>
      <c r="Q42" s="2" t="s">
        <v>97</v>
      </c>
    </row>
    <row r="43">
      <c r="A43" s="2" t="s">
        <v>88</v>
      </c>
      <c r="B43" s="2" t="s">
        <v>98</v>
      </c>
      <c r="C43" s="10" t="s">
        <v>262</v>
      </c>
      <c r="D43" s="10" t="s">
        <v>263</v>
      </c>
      <c r="E43" s="10" t="s">
        <v>259</v>
      </c>
      <c r="F43" s="11">
        <v>9.980990391E9</v>
      </c>
      <c r="G43" s="11">
        <v>1.2543197E7</v>
      </c>
      <c r="H43" s="11">
        <v>9.538692711E9</v>
      </c>
      <c r="I43" s="11">
        <v>10003.0</v>
      </c>
      <c r="J43" s="10" t="s">
        <v>93</v>
      </c>
      <c r="K43" s="10">
        <v>5.72583697195E11</v>
      </c>
      <c r="L43" s="11">
        <v>85.0</v>
      </c>
      <c r="M43" s="10" t="s">
        <v>264</v>
      </c>
      <c r="N43" s="10" t="s">
        <v>265</v>
      </c>
      <c r="O43" s="10" t="s">
        <v>266</v>
      </c>
      <c r="Q43" s="2" t="s">
        <v>97</v>
      </c>
    </row>
    <row r="44">
      <c r="A44" s="18" t="s">
        <v>267</v>
      </c>
      <c r="B44" s="18" t="s">
        <v>89</v>
      </c>
      <c r="C44" s="10" t="s">
        <v>268</v>
      </c>
      <c r="D44" s="20"/>
      <c r="E44" s="20"/>
      <c r="F44" s="20"/>
      <c r="G44" s="20"/>
      <c r="H44" s="20"/>
      <c r="I44" s="12"/>
      <c r="J44" s="12"/>
      <c r="K44" s="21"/>
      <c r="L44" s="11">
        <v>0.0</v>
      </c>
      <c r="M44" s="10" t="s">
        <v>144</v>
      </c>
      <c r="N44" s="12"/>
      <c r="O44" s="12"/>
    </row>
    <row r="45">
      <c r="A45" s="2" t="s">
        <v>88</v>
      </c>
      <c r="B45" s="2" t="s">
        <v>89</v>
      </c>
      <c r="C45" s="10" t="s">
        <v>269</v>
      </c>
      <c r="D45" s="10" t="s">
        <v>242</v>
      </c>
      <c r="E45" s="10" t="s">
        <v>270</v>
      </c>
      <c r="F45" s="10" t="s">
        <v>65</v>
      </c>
      <c r="G45" s="11">
        <v>1756648.0</v>
      </c>
      <c r="H45" s="11">
        <v>9.942912094E9</v>
      </c>
      <c r="I45" s="11">
        <v>10003.0</v>
      </c>
      <c r="J45" s="10" t="s">
        <v>93</v>
      </c>
      <c r="K45" s="10">
        <v>7.44556592639E11</v>
      </c>
      <c r="L45" s="11">
        <v>79.0</v>
      </c>
      <c r="M45" s="10" t="s">
        <v>271</v>
      </c>
      <c r="N45" s="10" t="s">
        <v>272</v>
      </c>
      <c r="Q45" s="2" t="s">
        <v>97</v>
      </c>
    </row>
    <row r="46">
      <c r="A46" s="2" t="s">
        <v>88</v>
      </c>
      <c r="B46" s="2" t="s">
        <v>89</v>
      </c>
      <c r="C46" s="10" t="s">
        <v>273</v>
      </c>
      <c r="D46" s="10" t="s">
        <v>274</v>
      </c>
      <c r="E46" s="10" t="s">
        <v>242</v>
      </c>
      <c r="F46" s="11">
        <v>6.366369301E9</v>
      </c>
      <c r="G46" s="11">
        <v>1.7258374E7</v>
      </c>
      <c r="H46" s="11">
        <v>7.35896663E9</v>
      </c>
      <c r="I46" s="11">
        <v>10003.0</v>
      </c>
      <c r="J46" s="10" t="s">
        <v>93</v>
      </c>
      <c r="K46" s="10">
        <v>7.35317093397E11</v>
      </c>
      <c r="L46" s="11">
        <v>82.0</v>
      </c>
      <c r="M46" s="10" t="s">
        <v>275</v>
      </c>
      <c r="N46" s="10" t="s">
        <v>276</v>
      </c>
      <c r="O46" s="10" t="s">
        <v>277</v>
      </c>
    </row>
    <row r="47">
      <c r="A47" s="18" t="s">
        <v>88</v>
      </c>
      <c r="B47" s="18" t="s">
        <v>98</v>
      </c>
      <c r="C47" s="10" t="s">
        <v>278</v>
      </c>
      <c r="D47" s="19" t="s">
        <v>142</v>
      </c>
      <c r="E47" s="19" t="s">
        <v>142</v>
      </c>
      <c r="F47" s="19" t="s">
        <v>143</v>
      </c>
      <c r="G47" s="19" t="s">
        <v>143</v>
      </c>
      <c r="H47" s="19" t="s">
        <v>142</v>
      </c>
      <c r="I47" s="12"/>
      <c r="J47" s="12"/>
      <c r="K47" s="21"/>
      <c r="L47" s="11">
        <v>0.0</v>
      </c>
      <c r="M47" s="10" t="s">
        <v>144</v>
      </c>
      <c r="N47" s="12"/>
      <c r="O47" s="12"/>
    </row>
    <row r="48">
      <c r="A48" s="2" t="s">
        <v>8</v>
      </c>
      <c r="C48" s="10" t="s">
        <v>279</v>
      </c>
      <c r="D48" s="10" t="s">
        <v>280</v>
      </c>
      <c r="E48" s="10" t="s">
        <v>281</v>
      </c>
      <c r="F48" s="11">
        <v>6.366369301E9</v>
      </c>
      <c r="G48" s="11">
        <v>1.7255624E7</v>
      </c>
      <c r="H48" s="11">
        <v>6.380016095E9</v>
      </c>
      <c r="I48" s="11">
        <v>10003.0</v>
      </c>
      <c r="J48" s="10" t="s">
        <v>93</v>
      </c>
      <c r="K48" s="10">
        <v>5.28886522569E11</v>
      </c>
      <c r="L48" s="11">
        <v>80.0</v>
      </c>
      <c r="M48" s="10" t="s">
        <v>282</v>
      </c>
      <c r="N48" s="10" t="s">
        <v>283</v>
      </c>
    </row>
    <row r="49">
      <c r="A49" s="2" t="s">
        <v>88</v>
      </c>
      <c r="B49" s="2" t="s">
        <v>98</v>
      </c>
      <c r="C49" s="10" t="s">
        <v>284</v>
      </c>
      <c r="D49" s="10" t="s">
        <v>285</v>
      </c>
      <c r="E49" s="10" t="s">
        <v>165</v>
      </c>
      <c r="F49" s="10" t="s">
        <v>65</v>
      </c>
      <c r="G49" s="11">
        <v>1757421.0</v>
      </c>
      <c r="H49" s="11">
        <v>8.980097162E9</v>
      </c>
      <c r="I49" s="11">
        <v>10003.0</v>
      </c>
      <c r="J49" s="10" t="s">
        <v>93</v>
      </c>
      <c r="K49" s="10">
        <v>3.57925175973E11</v>
      </c>
      <c r="L49" s="11">
        <v>86.0</v>
      </c>
      <c r="M49" s="10" t="s">
        <v>286</v>
      </c>
      <c r="N49" s="10" t="s">
        <v>287</v>
      </c>
      <c r="Q49" s="2" t="s">
        <v>97</v>
      </c>
    </row>
    <row r="50">
      <c r="A50" s="2" t="s">
        <v>288</v>
      </c>
      <c r="B50" s="2" t="s">
        <v>89</v>
      </c>
      <c r="C50" s="10" t="s">
        <v>289</v>
      </c>
      <c r="D50" s="10" t="s">
        <v>120</v>
      </c>
      <c r="E50" s="10" t="s">
        <v>290</v>
      </c>
      <c r="F50" s="10" t="s">
        <v>65</v>
      </c>
      <c r="G50" s="11">
        <v>7256031.0</v>
      </c>
      <c r="H50" s="11">
        <v>9.342260663E9</v>
      </c>
      <c r="I50" s="11">
        <v>10003.0</v>
      </c>
      <c r="J50" s="10" t="s">
        <v>93</v>
      </c>
      <c r="K50" s="10">
        <v>5.76282289536E11</v>
      </c>
      <c r="L50" s="11">
        <v>100.0</v>
      </c>
      <c r="M50" s="10" t="s">
        <v>291</v>
      </c>
      <c r="Q50" s="2" t="s">
        <v>97</v>
      </c>
    </row>
    <row r="51">
      <c r="A51" s="2" t="s">
        <v>288</v>
      </c>
      <c r="B51" s="2" t="s">
        <v>89</v>
      </c>
      <c r="C51" s="10" t="s">
        <v>292</v>
      </c>
      <c r="D51" s="10" t="s">
        <v>293</v>
      </c>
      <c r="E51" s="10" t="s">
        <v>294</v>
      </c>
      <c r="F51" s="11">
        <v>6.366369301E9</v>
      </c>
      <c r="G51" s="11">
        <v>2.0435846E7</v>
      </c>
      <c r="H51" s="11">
        <v>8.095568255E9</v>
      </c>
      <c r="I51" s="11">
        <v>10003.0</v>
      </c>
      <c r="J51" s="10" t="s">
        <v>93</v>
      </c>
      <c r="K51" s="10">
        <v>2.77642112712E11</v>
      </c>
      <c r="L51" s="11">
        <v>86.0</v>
      </c>
      <c r="M51" s="10" t="s">
        <v>295</v>
      </c>
      <c r="N51" s="10" t="s">
        <v>296</v>
      </c>
    </row>
    <row r="52">
      <c r="A52" s="2" t="s">
        <v>288</v>
      </c>
      <c r="B52" s="2" t="s">
        <v>89</v>
      </c>
      <c r="C52" s="10" t="s">
        <v>297</v>
      </c>
      <c r="D52" s="10" t="s">
        <v>285</v>
      </c>
      <c r="E52" s="10" t="s">
        <v>165</v>
      </c>
      <c r="F52" s="10" t="s">
        <v>65</v>
      </c>
      <c r="G52" s="11">
        <v>1757421.0</v>
      </c>
      <c r="H52" s="11">
        <v>8.980097162E9</v>
      </c>
      <c r="I52" s="11">
        <v>10003.0</v>
      </c>
      <c r="J52" s="10" t="s">
        <v>93</v>
      </c>
      <c r="K52" s="10">
        <v>3.57925175973E11</v>
      </c>
      <c r="L52" s="11">
        <v>57.0</v>
      </c>
      <c r="M52" s="10" t="s">
        <v>298</v>
      </c>
      <c r="N52" s="10" t="s">
        <v>299</v>
      </c>
    </row>
    <row r="53">
      <c r="A53" s="10" t="s">
        <v>300</v>
      </c>
      <c r="B53" s="2" t="s">
        <v>89</v>
      </c>
      <c r="C53" s="10" t="s">
        <v>300</v>
      </c>
      <c r="D53" s="10" t="s">
        <v>176</v>
      </c>
      <c r="E53" s="10" t="s">
        <v>177</v>
      </c>
      <c r="F53" s="10" t="s">
        <v>68</v>
      </c>
      <c r="G53" s="11">
        <v>1.8839691E7</v>
      </c>
      <c r="H53" s="11">
        <v>8.095568255E9</v>
      </c>
      <c r="I53" s="11">
        <v>10003.0</v>
      </c>
      <c r="J53" s="10" t="s">
        <v>93</v>
      </c>
      <c r="K53" s="10">
        <v>9.1525048872E11</v>
      </c>
      <c r="L53" s="11">
        <v>58.0</v>
      </c>
      <c r="M53" s="10" t="s">
        <v>301</v>
      </c>
      <c r="O53" s="12"/>
    </row>
    <row r="54">
      <c r="A54" s="2" t="s">
        <v>302</v>
      </c>
      <c r="B54" s="2" t="s">
        <v>89</v>
      </c>
      <c r="C54" s="10" t="s">
        <v>303</v>
      </c>
      <c r="D54" s="10" t="s">
        <v>304</v>
      </c>
      <c r="E54" s="10" t="s">
        <v>305</v>
      </c>
      <c r="F54" s="11">
        <v>9.865643639E9</v>
      </c>
      <c r="G54" s="11">
        <v>7591285.0</v>
      </c>
      <c r="H54" s="11">
        <v>9.655791067E9</v>
      </c>
      <c r="I54" s="11">
        <v>10003.0</v>
      </c>
      <c r="J54" s="10" t="s">
        <v>93</v>
      </c>
      <c r="K54" s="10">
        <v>2.68708796853E11</v>
      </c>
      <c r="L54" s="11">
        <v>89.0</v>
      </c>
      <c r="M54" s="12"/>
      <c r="N54" s="12"/>
      <c r="O54" s="12"/>
    </row>
    <row r="55">
      <c r="A55" s="18" t="s">
        <v>302</v>
      </c>
      <c r="B55" s="18" t="s">
        <v>89</v>
      </c>
      <c r="C55" s="10" t="s">
        <v>302</v>
      </c>
      <c r="D55" s="19" t="s">
        <v>142</v>
      </c>
      <c r="E55" s="19" t="s">
        <v>142</v>
      </c>
      <c r="F55" s="19" t="s">
        <v>143</v>
      </c>
      <c r="G55" s="19" t="s">
        <v>143</v>
      </c>
      <c r="H55" s="19" t="s">
        <v>142</v>
      </c>
      <c r="I55" s="12"/>
      <c r="J55" s="12"/>
      <c r="K55" s="21"/>
      <c r="L55" s="11">
        <v>0.0</v>
      </c>
      <c r="M55" s="10" t="s">
        <v>144</v>
      </c>
      <c r="N55" s="12"/>
      <c r="O55" s="12"/>
    </row>
    <row r="56">
      <c r="A56" s="18" t="s">
        <v>302</v>
      </c>
      <c r="B56" s="18" t="s">
        <v>89</v>
      </c>
      <c r="C56" s="10" t="s">
        <v>306</v>
      </c>
      <c r="D56" s="19" t="s">
        <v>142</v>
      </c>
      <c r="E56" s="19" t="s">
        <v>142</v>
      </c>
      <c r="F56" s="19" t="s">
        <v>143</v>
      </c>
      <c r="G56" s="19" t="s">
        <v>143</v>
      </c>
      <c r="H56" s="19" t="s">
        <v>142</v>
      </c>
      <c r="I56" s="12"/>
      <c r="J56" s="12"/>
      <c r="K56" s="21"/>
      <c r="L56" s="11">
        <v>0.0</v>
      </c>
      <c r="M56" s="10" t="s">
        <v>144</v>
      </c>
      <c r="N56" s="12"/>
      <c r="O56" s="12"/>
    </row>
    <row r="57">
      <c r="A57" s="18" t="s">
        <v>302</v>
      </c>
      <c r="B57" s="18" t="s">
        <v>89</v>
      </c>
      <c r="C57" s="10" t="s">
        <v>307</v>
      </c>
      <c r="D57" s="19" t="s">
        <v>142</v>
      </c>
      <c r="E57" s="19" t="s">
        <v>142</v>
      </c>
      <c r="F57" s="19" t="s">
        <v>143</v>
      </c>
      <c r="G57" s="19" t="s">
        <v>143</v>
      </c>
      <c r="H57" s="19" t="s">
        <v>142</v>
      </c>
      <c r="I57" s="11"/>
      <c r="J57" s="10"/>
      <c r="K57" s="10"/>
      <c r="L57" s="11">
        <v>0.0</v>
      </c>
      <c r="M57" s="10"/>
      <c r="N57" s="10"/>
      <c r="O57" s="10"/>
    </row>
    <row r="58">
      <c r="A58" s="18" t="s">
        <v>302</v>
      </c>
      <c r="B58" s="18" t="s">
        <v>89</v>
      </c>
      <c r="C58" s="10" t="s">
        <v>308</v>
      </c>
      <c r="D58" s="19" t="s">
        <v>142</v>
      </c>
      <c r="E58" s="19" t="s">
        <v>142</v>
      </c>
      <c r="F58" s="19" t="s">
        <v>143</v>
      </c>
      <c r="G58" s="19" t="s">
        <v>143</v>
      </c>
      <c r="H58" s="19" t="s">
        <v>142</v>
      </c>
      <c r="I58" s="12"/>
      <c r="J58" s="12"/>
      <c r="K58" s="21"/>
      <c r="L58" s="11">
        <v>0.0</v>
      </c>
      <c r="M58" s="10" t="s">
        <v>144</v>
      </c>
      <c r="N58" s="12"/>
      <c r="O58" s="12"/>
    </row>
    <row r="59">
      <c r="A59" s="18" t="s">
        <v>288</v>
      </c>
      <c r="B59" s="18" t="s">
        <v>98</v>
      </c>
      <c r="C59" s="10" t="s">
        <v>309</v>
      </c>
      <c r="D59" s="19" t="s">
        <v>142</v>
      </c>
      <c r="E59" s="19" t="s">
        <v>142</v>
      </c>
      <c r="F59" s="19" t="s">
        <v>143</v>
      </c>
      <c r="G59" s="19" t="s">
        <v>143</v>
      </c>
      <c r="H59" s="19" t="s">
        <v>142</v>
      </c>
      <c r="I59" s="12"/>
      <c r="J59" s="12"/>
      <c r="K59" s="21"/>
      <c r="L59" s="11">
        <v>0.0</v>
      </c>
      <c r="M59" s="10" t="s">
        <v>144</v>
      </c>
      <c r="N59" s="12"/>
      <c r="O59" s="12"/>
    </row>
    <row r="60">
      <c r="A60" s="2" t="s">
        <v>288</v>
      </c>
      <c r="B60" s="2" t="s">
        <v>89</v>
      </c>
      <c r="C60" s="10" t="s">
        <v>310</v>
      </c>
      <c r="D60" s="10" t="s">
        <v>311</v>
      </c>
      <c r="E60" s="10" t="s">
        <v>290</v>
      </c>
      <c r="F60" s="10" t="s">
        <v>65</v>
      </c>
      <c r="G60" s="11">
        <v>7255753.0</v>
      </c>
      <c r="H60" s="11">
        <v>8.248092848E9</v>
      </c>
      <c r="I60" s="11">
        <v>10003.0</v>
      </c>
      <c r="J60" s="10" t="s">
        <v>93</v>
      </c>
      <c r="K60" s="10">
        <v>2.50500426708E11</v>
      </c>
      <c r="L60" s="11">
        <v>90.0</v>
      </c>
      <c r="M60" s="10" t="s">
        <v>312</v>
      </c>
      <c r="N60" s="10" t="s">
        <v>313</v>
      </c>
      <c r="Q60" s="2" t="s">
        <v>97</v>
      </c>
    </row>
    <row r="61">
      <c r="A61" s="2" t="s">
        <v>175</v>
      </c>
      <c r="C61" s="10" t="s">
        <v>314</v>
      </c>
      <c r="D61" s="20"/>
      <c r="E61" s="20"/>
      <c r="F61" s="20"/>
      <c r="G61" s="20"/>
      <c r="H61" s="12"/>
      <c r="I61" s="12"/>
      <c r="J61" s="12"/>
      <c r="K61" s="21"/>
      <c r="L61" s="11">
        <v>0.0</v>
      </c>
      <c r="M61" s="10" t="s">
        <v>144</v>
      </c>
      <c r="N61" s="12"/>
      <c r="O61" s="12"/>
    </row>
    <row r="62">
      <c r="F62" s="22"/>
      <c r="K62" s="23"/>
    </row>
    <row r="63">
      <c r="F63" s="22"/>
      <c r="K63" s="23"/>
    </row>
    <row r="64">
      <c r="F64" s="22"/>
      <c r="K64" s="23"/>
    </row>
    <row r="65">
      <c r="F65" s="22"/>
      <c r="K65" s="23"/>
    </row>
    <row r="66">
      <c r="F66" s="22"/>
      <c r="K66" s="23"/>
    </row>
    <row r="67">
      <c r="F67" s="22"/>
      <c r="K67" s="23"/>
    </row>
    <row r="68">
      <c r="F68" s="22"/>
      <c r="K68" s="23"/>
    </row>
    <row r="69">
      <c r="F69" s="22"/>
      <c r="K69" s="23"/>
    </row>
    <row r="70">
      <c r="F70" s="22"/>
      <c r="K70" s="23"/>
    </row>
    <row r="71">
      <c r="F71" s="22"/>
      <c r="K71" s="23"/>
    </row>
    <row r="72">
      <c r="F72" s="22"/>
      <c r="K72" s="23"/>
    </row>
    <row r="73">
      <c r="F73" s="22"/>
      <c r="K73" s="23"/>
    </row>
    <row r="74">
      <c r="F74" s="22"/>
      <c r="K74" s="23"/>
    </row>
    <row r="75">
      <c r="F75" s="22"/>
      <c r="K75" s="23"/>
    </row>
    <row r="76">
      <c r="F76" s="22"/>
      <c r="K76" s="23"/>
    </row>
    <row r="77">
      <c r="F77" s="22"/>
      <c r="K77" s="23"/>
    </row>
    <row r="78">
      <c r="F78" s="22"/>
      <c r="K78" s="23"/>
    </row>
    <row r="79">
      <c r="F79" s="22"/>
      <c r="K79" s="23"/>
    </row>
    <row r="80">
      <c r="F80" s="22"/>
      <c r="K80" s="23"/>
    </row>
    <row r="81">
      <c r="F81" s="22"/>
      <c r="K81" s="23"/>
    </row>
    <row r="82">
      <c r="F82" s="22"/>
      <c r="K82" s="23"/>
    </row>
    <row r="83">
      <c r="F83" s="22"/>
      <c r="K83" s="23"/>
    </row>
    <row r="84">
      <c r="F84" s="22"/>
      <c r="K84" s="23"/>
    </row>
    <row r="85">
      <c r="F85" s="22"/>
      <c r="K85" s="23"/>
    </row>
    <row r="86">
      <c r="F86" s="22"/>
      <c r="K86" s="23"/>
    </row>
    <row r="87">
      <c r="F87" s="22"/>
      <c r="K87" s="23"/>
    </row>
    <row r="88">
      <c r="F88" s="22"/>
      <c r="K88" s="23"/>
    </row>
    <row r="89">
      <c r="F89" s="22"/>
      <c r="K89" s="23"/>
    </row>
    <row r="90">
      <c r="F90" s="22"/>
      <c r="K90" s="23"/>
    </row>
    <row r="91">
      <c r="F91" s="22"/>
      <c r="K91" s="23"/>
    </row>
    <row r="92">
      <c r="F92" s="22"/>
      <c r="K92" s="23"/>
    </row>
    <row r="93">
      <c r="F93" s="22"/>
      <c r="K93" s="23"/>
    </row>
    <row r="94">
      <c r="F94" s="22"/>
      <c r="K94" s="23"/>
    </row>
    <row r="95">
      <c r="F95" s="22"/>
      <c r="K95" s="23"/>
    </row>
    <row r="96">
      <c r="F96" s="22"/>
      <c r="K96" s="23"/>
    </row>
    <row r="97">
      <c r="F97" s="22"/>
      <c r="K97" s="23"/>
    </row>
    <row r="98">
      <c r="F98" s="22"/>
      <c r="K98" s="23"/>
    </row>
    <row r="99">
      <c r="F99" s="22"/>
      <c r="K99" s="23"/>
    </row>
    <row r="100">
      <c r="F100" s="22"/>
      <c r="K100" s="23"/>
    </row>
    <row r="101">
      <c r="F101" s="22"/>
      <c r="K101" s="23"/>
    </row>
    <row r="102">
      <c r="F102" s="22"/>
      <c r="K102" s="23"/>
    </row>
    <row r="103">
      <c r="F103" s="22"/>
      <c r="K103" s="23"/>
    </row>
    <row r="104">
      <c r="F104" s="22"/>
      <c r="K104" s="23"/>
    </row>
    <row r="105">
      <c r="F105" s="22"/>
      <c r="K105" s="23"/>
    </row>
    <row r="106">
      <c r="F106" s="22"/>
      <c r="K106" s="23"/>
    </row>
    <row r="107">
      <c r="F107" s="22"/>
      <c r="K107" s="23"/>
    </row>
    <row r="108">
      <c r="F108" s="22"/>
      <c r="K108" s="23"/>
    </row>
    <row r="109">
      <c r="F109" s="22"/>
      <c r="K109" s="23"/>
    </row>
    <row r="110">
      <c r="F110" s="22"/>
      <c r="K110" s="23"/>
    </row>
    <row r="111">
      <c r="F111" s="22"/>
      <c r="K111" s="23"/>
    </row>
    <row r="112">
      <c r="F112" s="22"/>
      <c r="K112" s="23"/>
    </row>
    <row r="113">
      <c r="F113" s="22"/>
      <c r="K113" s="23"/>
    </row>
    <row r="114">
      <c r="F114" s="22"/>
      <c r="K114" s="23"/>
    </row>
    <row r="115">
      <c r="F115" s="22"/>
      <c r="K115" s="23"/>
    </row>
    <row r="116">
      <c r="F116" s="22"/>
      <c r="K116" s="23"/>
    </row>
    <row r="117">
      <c r="F117" s="22"/>
      <c r="K117" s="23"/>
    </row>
    <row r="118">
      <c r="F118" s="22"/>
      <c r="K118" s="23"/>
    </row>
    <row r="119">
      <c r="F119" s="22"/>
      <c r="K119" s="23"/>
    </row>
    <row r="120">
      <c r="F120" s="22"/>
      <c r="K120" s="23"/>
    </row>
    <row r="121">
      <c r="F121" s="22"/>
      <c r="K121" s="23"/>
    </row>
    <row r="122">
      <c r="F122" s="22"/>
      <c r="K122" s="23"/>
    </row>
    <row r="123">
      <c r="F123" s="22"/>
      <c r="K123" s="23"/>
    </row>
    <row r="124">
      <c r="F124" s="22"/>
      <c r="K124" s="23"/>
    </row>
    <row r="125">
      <c r="F125" s="22"/>
      <c r="K125" s="23"/>
    </row>
    <row r="126">
      <c r="F126" s="22"/>
      <c r="K126" s="23"/>
    </row>
    <row r="127">
      <c r="F127" s="22"/>
      <c r="K127" s="23"/>
    </row>
    <row r="128">
      <c r="F128" s="22"/>
      <c r="K128" s="23"/>
    </row>
    <row r="129">
      <c r="F129" s="22"/>
      <c r="K129" s="23"/>
    </row>
    <row r="130">
      <c r="F130" s="22"/>
      <c r="K130" s="23"/>
    </row>
    <row r="131">
      <c r="F131" s="22"/>
      <c r="K131" s="23"/>
    </row>
    <row r="132">
      <c r="F132" s="22"/>
      <c r="K132" s="23"/>
    </row>
    <row r="133">
      <c r="F133" s="22"/>
      <c r="K133" s="23"/>
    </row>
    <row r="134">
      <c r="F134" s="22"/>
      <c r="K134" s="23"/>
    </row>
    <row r="135">
      <c r="F135" s="22"/>
      <c r="K135" s="23"/>
    </row>
    <row r="136">
      <c r="F136" s="22"/>
      <c r="K136" s="23"/>
    </row>
    <row r="137">
      <c r="F137" s="22"/>
      <c r="K137" s="23"/>
    </row>
    <row r="138">
      <c r="F138" s="22"/>
      <c r="K138" s="23"/>
    </row>
    <row r="139">
      <c r="F139" s="22"/>
      <c r="K139" s="23"/>
    </row>
    <row r="140">
      <c r="F140" s="22"/>
      <c r="K140" s="23"/>
    </row>
    <row r="141">
      <c r="F141" s="22"/>
      <c r="K141" s="23"/>
    </row>
    <row r="142">
      <c r="F142" s="22"/>
      <c r="K142" s="23"/>
    </row>
    <row r="143">
      <c r="F143" s="22"/>
      <c r="K143" s="23"/>
    </row>
    <row r="144">
      <c r="F144" s="22"/>
      <c r="K144" s="23"/>
    </row>
    <row r="145">
      <c r="F145" s="22"/>
      <c r="K145" s="23"/>
    </row>
    <row r="146">
      <c r="F146" s="22"/>
      <c r="K146" s="23"/>
    </row>
    <row r="147">
      <c r="F147" s="22"/>
      <c r="K147" s="23"/>
    </row>
    <row r="148">
      <c r="F148" s="22"/>
      <c r="K148" s="23"/>
    </row>
    <row r="149">
      <c r="F149" s="22"/>
      <c r="K149" s="23"/>
    </row>
    <row r="150">
      <c r="F150" s="22"/>
      <c r="K150" s="23"/>
    </row>
    <row r="151">
      <c r="F151" s="22"/>
      <c r="K151" s="23"/>
    </row>
    <row r="152">
      <c r="F152" s="22"/>
      <c r="K152" s="23"/>
    </row>
    <row r="153">
      <c r="F153" s="22"/>
      <c r="K153" s="23"/>
    </row>
    <row r="154">
      <c r="F154" s="22"/>
      <c r="K154" s="23"/>
    </row>
    <row r="155">
      <c r="F155" s="22"/>
      <c r="K155" s="23"/>
    </row>
    <row r="156">
      <c r="F156" s="22"/>
      <c r="K156" s="23"/>
    </row>
    <row r="157">
      <c r="F157" s="22"/>
      <c r="K157" s="23"/>
    </row>
    <row r="158">
      <c r="F158" s="22"/>
      <c r="K158" s="23"/>
    </row>
    <row r="159">
      <c r="F159" s="22"/>
      <c r="K159" s="23"/>
    </row>
    <row r="160">
      <c r="F160" s="22"/>
      <c r="K160" s="23"/>
    </row>
    <row r="161">
      <c r="F161" s="22"/>
      <c r="K161" s="23"/>
    </row>
    <row r="162">
      <c r="F162" s="22"/>
      <c r="K162" s="23"/>
    </row>
    <row r="163">
      <c r="F163" s="22"/>
      <c r="K163" s="23"/>
    </row>
    <row r="164">
      <c r="F164" s="22"/>
      <c r="K164" s="23"/>
    </row>
    <row r="165">
      <c r="F165" s="22"/>
      <c r="K165" s="23"/>
    </row>
    <row r="166">
      <c r="F166" s="22"/>
      <c r="K166" s="23"/>
    </row>
    <row r="167">
      <c r="F167" s="22"/>
      <c r="K167" s="23"/>
    </row>
    <row r="168">
      <c r="F168" s="22"/>
      <c r="K168" s="23"/>
    </row>
    <row r="169">
      <c r="F169" s="22"/>
      <c r="K169" s="23"/>
    </row>
    <row r="170">
      <c r="F170" s="22"/>
      <c r="K170" s="23"/>
    </row>
    <row r="171">
      <c r="F171" s="22"/>
      <c r="K171" s="23"/>
    </row>
    <row r="172">
      <c r="F172" s="22"/>
      <c r="K172" s="23"/>
    </row>
    <row r="173">
      <c r="F173" s="22"/>
      <c r="K173" s="23"/>
    </row>
    <row r="174">
      <c r="F174" s="22"/>
      <c r="K174" s="23"/>
    </row>
    <row r="175">
      <c r="F175" s="22"/>
      <c r="K175" s="23"/>
    </row>
    <row r="176">
      <c r="F176" s="22"/>
      <c r="K176" s="23"/>
    </row>
    <row r="177">
      <c r="F177" s="22"/>
      <c r="K177" s="23"/>
    </row>
    <row r="178">
      <c r="F178" s="22"/>
      <c r="K178" s="23"/>
    </row>
    <row r="179">
      <c r="F179" s="22"/>
      <c r="K179" s="23"/>
    </row>
    <row r="180">
      <c r="F180" s="22"/>
      <c r="K180" s="23"/>
    </row>
    <row r="181">
      <c r="F181" s="22"/>
      <c r="K181" s="23"/>
    </row>
    <row r="182">
      <c r="F182" s="22"/>
      <c r="K182" s="23"/>
    </row>
    <row r="183">
      <c r="F183" s="22"/>
      <c r="K183" s="23"/>
    </row>
    <row r="184">
      <c r="F184" s="22"/>
      <c r="K184" s="23"/>
    </row>
    <row r="185">
      <c r="F185" s="22"/>
      <c r="K185" s="23"/>
    </row>
    <row r="186">
      <c r="F186" s="22"/>
      <c r="K186" s="23"/>
    </row>
    <row r="187">
      <c r="F187" s="22"/>
      <c r="K187" s="23"/>
    </row>
    <row r="188">
      <c r="F188" s="22"/>
      <c r="K188" s="23"/>
    </row>
    <row r="189">
      <c r="F189" s="22"/>
      <c r="K189" s="23"/>
    </row>
    <row r="190">
      <c r="F190" s="22"/>
      <c r="K190" s="23"/>
    </row>
    <row r="191">
      <c r="F191" s="22"/>
      <c r="K191" s="23"/>
    </row>
    <row r="192">
      <c r="F192" s="22"/>
      <c r="K192" s="23"/>
    </row>
    <row r="193">
      <c r="F193" s="22"/>
      <c r="K193" s="23"/>
    </row>
    <row r="194">
      <c r="F194" s="22"/>
      <c r="K194" s="23"/>
    </row>
    <row r="195">
      <c r="F195" s="22"/>
      <c r="K195" s="23"/>
    </row>
    <row r="196">
      <c r="F196" s="22"/>
      <c r="K196" s="23"/>
    </row>
    <row r="197">
      <c r="F197" s="22"/>
      <c r="K197" s="23"/>
    </row>
    <row r="198">
      <c r="F198" s="22"/>
      <c r="K198" s="23"/>
    </row>
    <row r="199">
      <c r="F199" s="22"/>
      <c r="K199" s="23"/>
    </row>
    <row r="200">
      <c r="F200" s="22"/>
      <c r="K200" s="23"/>
    </row>
    <row r="201">
      <c r="F201" s="22"/>
      <c r="K201" s="23"/>
    </row>
    <row r="202">
      <c r="F202" s="22"/>
      <c r="K202" s="23"/>
    </row>
    <row r="203">
      <c r="F203" s="22"/>
      <c r="K203" s="23"/>
    </row>
    <row r="204">
      <c r="F204" s="22"/>
      <c r="K204" s="23"/>
    </row>
    <row r="205">
      <c r="F205" s="22"/>
      <c r="K205" s="23"/>
    </row>
    <row r="206">
      <c r="F206" s="22"/>
      <c r="K206" s="23"/>
    </row>
    <row r="207">
      <c r="F207" s="22"/>
      <c r="K207" s="23"/>
    </row>
    <row r="208">
      <c r="F208" s="22"/>
      <c r="K208" s="23"/>
    </row>
    <row r="209">
      <c r="F209" s="22"/>
      <c r="K209" s="23"/>
    </row>
    <row r="210">
      <c r="F210" s="22"/>
      <c r="K210" s="23"/>
    </row>
    <row r="211">
      <c r="F211" s="22"/>
      <c r="K211" s="23"/>
    </row>
    <row r="212">
      <c r="F212" s="22"/>
      <c r="K212" s="23"/>
    </row>
    <row r="213">
      <c r="F213" s="22"/>
      <c r="K213" s="23"/>
    </row>
    <row r="214">
      <c r="F214" s="22"/>
      <c r="K214" s="23"/>
    </row>
    <row r="215">
      <c r="F215" s="22"/>
      <c r="K215" s="23"/>
    </row>
    <row r="216">
      <c r="F216" s="22"/>
      <c r="K216" s="23"/>
    </row>
    <row r="217">
      <c r="F217" s="22"/>
      <c r="K217" s="23"/>
    </row>
    <row r="218">
      <c r="F218" s="22"/>
      <c r="K218" s="23"/>
    </row>
    <row r="219">
      <c r="F219" s="22"/>
      <c r="K219" s="23"/>
    </row>
    <row r="220">
      <c r="F220" s="22"/>
      <c r="K220" s="23"/>
    </row>
    <row r="221">
      <c r="F221" s="22"/>
      <c r="K221" s="23"/>
    </row>
    <row r="222">
      <c r="F222" s="22"/>
      <c r="K222" s="23"/>
    </row>
    <row r="223">
      <c r="F223" s="22"/>
      <c r="K223" s="23"/>
    </row>
    <row r="224">
      <c r="F224" s="22"/>
      <c r="K224" s="23"/>
    </row>
    <row r="225">
      <c r="F225" s="22"/>
      <c r="K225" s="23"/>
    </row>
    <row r="226">
      <c r="F226" s="22"/>
      <c r="K226" s="23"/>
    </row>
    <row r="227">
      <c r="F227" s="22"/>
      <c r="K227" s="23"/>
    </row>
    <row r="228">
      <c r="F228" s="22"/>
      <c r="K228" s="23"/>
    </row>
    <row r="229">
      <c r="F229" s="22"/>
      <c r="K229" s="23"/>
    </row>
    <row r="230">
      <c r="F230" s="22"/>
      <c r="K230" s="23"/>
    </row>
    <row r="231">
      <c r="F231" s="22"/>
      <c r="K231" s="23"/>
    </row>
    <row r="232">
      <c r="F232" s="22"/>
      <c r="K232" s="23"/>
    </row>
    <row r="233">
      <c r="F233" s="22"/>
      <c r="K233" s="23"/>
    </row>
    <row r="234">
      <c r="F234" s="22"/>
      <c r="K234" s="23"/>
    </row>
    <row r="235">
      <c r="F235" s="22"/>
      <c r="K235" s="23"/>
    </row>
    <row r="236">
      <c r="F236" s="22"/>
      <c r="K236" s="23"/>
    </row>
    <row r="237">
      <c r="F237" s="22"/>
      <c r="K237" s="23"/>
    </row>
    <row r="238">
      <c r="F238" s="22"/>
      <c r="K238" s="23"/>
    </row>
    <row r="239">
      <c r="F239" s="22"/>
      <c r="K239" s="23"/>
    </row>
    <row r="240">
      <c r="F240" s="22"/>
      <c r="K240" s="23"/>
    </row>
    <row r="241">
      <c r="F241" s="22"/>
      <c r="K241" s="23"/>
    </row>
    <row r="242">
      <c r="F242" s="22"/>
      <c r="K242" s="23"/>
    </row>
    <row r="243">
      <c r="F243" s="22"/>
      <c r="K243" s="23"/>
    </row>
    <row r="244">
      <c r="F244" s="22"/>
      <c r="K244" s="23"/>
    </row>
    <row r="245">
      <c r="F245" s="22"/>
      <c r="K245" s="23"/>
    </row>
    <row r="246">
      <c r="F246" s="22"/>
      <c r="K246" s="23"/>
    </row>
    <row r="247">
      <c r="F247" s="22"/>
      <c r="K247" s="23"/>
    </row>
    <row r="248">
      <c r="F248" s="22"/>
      <c r="K248" s="23"/>
    </row>
    <row r="249">
      <c r="F249" s="22"/>
      <c r="K249" s="23"/>
    </row>
    <row r="250">
      <c r="F250" s="22"/>
      <c r="K250" s="23"/>
    </row>
    <row r="251">
      <c r="F251" s="22"/>
      <c r="K251" s="23"/>
    </row>
    <row r="252">
      <c r="F252" s="22"/>
      <c r="K252" s="23"/>
    </row>
    <row r="253">
      <c r="F253" s="22"/>
      <c r="K253" s="23"/>
    </row>
    <row r="254">
      <c r="F254" s="22"/>
      <c r="K254" s="23"/>
    </row>
    <row r="255">
      <c r="F255" s="22"/>
      <c r="K255" s="23"/>
    </row>
    <row r="256">
      <c r="F256" s="22"/>
      <c r="K256" s="23"/>
    </row>
    <row r="257">
      <c r="F257" s="22"/>
      <c r="K257" s="23"/>
    </row>
    <row r="258">
      <c r="F258" s="22"/>
      <c r="K258" s="23"/>
    </row>
    <row r="259">
      <c r="F259" s="22"/>
      <c r="K259" s="23"/>
    </row>
    <row r="260">
      <c r="F260" s="22"/>
      <c r="K260" s="23"/>
    </row>
    <row r="261">
      <c r="F261" s="22"/>
      <c r="K261" s="23"/>
    </row>
    <row r="262">
      <c r="F262" s="22"/>
      <c r="K262" s="23"/>
    </row>
    <row r="263">
      <c r="F263" s="22"/>
      <c r="K263" s="23"/>
    </row>
    <row r="264">
      <c r="F264" s="22"/>
      <c r="K264" s="23"/>
    </row>
    <row r="265">
      <c r="F265" s="22"/>
      <c r="K265" s="23"/>
    </row>
    <row r="266">
      <c r="F266" s="22"/>
      <c r="K266" s="23"/>
    </row>
    <row r="267">
      <c r="F267" s="22"/>
      <c r="K267" s="23"/>
    </row>
    <row r="268">
      <c r="F268" s="22"/>
      <c r="K268" s="23"/>
    </row>
    <row r="269">
      <c r="F269" s="22"/>
      <c r="K269" s="23"/>
    </row>
    <row r="270">
      <c r="F270" s="22"/>
      <c r="K270" s="23"/>
    </row>
    <row r="271">
      <c r="F271" s="22"/>
      <c r="K271" s="23"/>
    </row>
    <row r="272">
      <c r="F272" s="22"/>
      <c r="K272" s="23"/>
    </row>
    <row r="273">
      <c r="F273" s="22"/>
      <c r="K273" s="23"/>
    </row>
    <row r="274">
      <c r="F274" s="22"/>
      <c r="K274" s="23"/>
    </row>
    <row r="275">
      <c r="F275" s="22"/>
      <c r="K275" s="23"/>
    </row>
    <row r="276">
      <c r="F276" s="22"/>
      <c r="K276" s="23"/>
    </row>
    <row r="277">
      <c r="F277" s="22"/>
      <c r="K277" s="23"/>
    </row>
    <row r="278">
      <c r="F278" s="22"/>
      <c r="K278" s="23"/>
    </row>
    <row r="279">
      <c r="F279" s="22"/>
      <c r="K279" s="23"/>
    </row>
    <row r="280">
      <c r="F280" s="22"/>
      <c r="K280" s="23"/>
    </row>
    <row r="281">
      <c r="F281" s="22"/>
      <c r="K281" s="23"/>
    </row>
    <row r="282">
      <c r="F282" s="22"/>
      <c r="K282" s="23"/>
    </row>
    <row r="283">
      <c r="F283" s="22"/>
      <c r="K283" s="23"/>
    </row>
    <row r="284">
      <c r="F284" s="22"/>
      <c r="K284" s="23"/>
    </row>
    <row r="285">
      <c r="F285" s="22"/>
      <c r="K285" s="23"/>
    </row>
    <row r="286">
      <c r="F286" s="22"/>
      <c r="K286" s="23"/>
    </row>
    <row r="287">
      <c r="F287" s="22"/>
      <c r="K287" s="23"/>
    </row>
    <row r="288">
      <c r="F288" s="22"/>
      <c r="K288" s="23"/>
    </row>
    <row r="289">
      <c r="F289" s="22"/>
      <c r="K289" s="23"/>
    </row>
    <row r="290">
      <c r="F290" s="22"/>
      <c r="K290" s="23"/>
    </row>
    <row r="291">
      <c r="F291" s="22"/>
      <c r="K291" s="23"/>
    </row>
    <row r="292">
      <c r="F292" s="22"/>
      <c r="K292" s="23"/>
    </row>
    <row r="293">
      <c r="F293" s="22"/>
      <c r="K293" s="23"/>
    </row>
    <row r="294">
      <c r="F294" s="22"/>
      <c r="K294" s="23"/>
    </row>
    <row r="295">
      <c r="F295" s="22"/>
      <c r="K295" s="23"/>
    </row>
    <row r="296">
      <c r="F296" s="22"/>
      <c r="K296" s="23"/>
    </row>
    <row r="297">
      <c r="F297" s="22"/>
      <c r="K297" s="23"/>
    </row>
    <row r="298">
      <c r="F298" s="22"/>
      <c r="K298" s="23"/>
    </row>
    <row r="299">
      <c r="F299" s="22"/>
      <c r="K299" s="23"/>
    </row>
    <row r="300">
      <c r="F300" s="22"/>
      <c r="K300" s="23"/>
    </row>
    <row r="301">
      <c r="F301" s="22"/>
      <c r="K301" s="23"/>
    </row>
    <row r="302">
      <c r="F302" s="22"/>
      <c r="K302" s="23"/>
    </row>
    <row r="303">
      <c r="F303" s="22"/>
      <c r="K303" s="23"/>
    </row>
    <row r="304">
      <c r="F304" s="22"/>
      <c r="K304" s="23"/>
    </row>
    <row r="305">
      <c r="F305" s="22"/>
      <c r="K305" s="23"/>
    </row>
    <row r="306">
      <c r="F306" s="22"/>
      <c r="K306" s="23"/>
    </row>
    <row r="307">
      <c r="F307" s="22"/>
      <c r="K307" s="23"/>
    </row>
    <row r="308">
      <c r="F308" s="22"/>
      <c r="K308" s="23"/>
    </row>
    <row r="309">
      <c r="F309" s="22"/>
      <c r="K309" s="23"/>
    </row>
    <row r="310">
      <c r="F310" s="22"/>
      <c r="K310" s="23"/>
    </row>
    <row r="311">
      <c r="F311" s="22"/>
      <c r="K311" s="23"/>
    </row>
    <row r="312">
      <c r="F312" s="22"/>
      <c r="K312" s="23"/>
    </row>
    <row r="313">
      <c r="F313" s="22"/>
      <c r="K313" s="23"/>
    </row>
    <row r="314">
      <c r="F314" s="22"/>
      <c r="K314" s="23"/>
    </row>
    <row r="315">
      <c r="F315" s="22"/>
      <c r="K315" s="23"/>
    </row>
    <row r="316">
      <c r="F316" s="22"/>
      <c r="K316" s="23"/>
    </row>
    <row r="317">
      <c r="F317" s="22"/>
      <c r="K317" s="23"/>
    </row>
    <row r="318">
      <c r="F318" s="22"/>
      <c r="K318" s="23"/>
    </row>
    <row r="319">
      <c r="F319" s="22"/>
      <c r="K319" s="23"/>
    </row>
    <row r="320">
      <c r="F320" s="22"/>
      <c r="K320" s="23"/>
    </row>
    <row r="321">
      <c r="F321" s="22"/>
      <c r="K321" s="23"/>
    </row>
    <row r="322">
      <c r="F322" s="22"/>
      <c r="K322" s="23"/>
    </row>
    <row r="323">
      <c r="F323" s="22"/>
      <c r="K323" s="23"/>
    </row>
    <row r="324">
      <c r="F324" s="22"/>
      <c r="K324" s="23"/>
    </row>
    <row r="325">
      <c r="F325" s="22"/>
      <c r="K325" s="23"/>
    </row>
    <row r="326">
      <c r="F326" s="22"/>
      <c r="K326" s="23"/>
    </row>
    <row r="327">
      <c r="F327" s="22"/>
      <c r="K327" s="23"/>
    </row>
    <row r="328">
      <c r="F328" s="22"/>
      <c r="K328" s="23"/>
    </row>
    <row r="329">
      <c r="F329" s="22"/>
      <c r="K329" s="23"/>
    </row>
    <row r="330">
      <c r="F330" s="22"/>
      <c r="K330" s="23"/>
    </row>
    <row r="331">
      <c r="F331" s="22"/>
      <c r="K331" s="23"/>
    </row>
    <row r="332">
      <c r="F332" s="22"/>
      <c r="K332" s="23"/>
    </row>
    <row r="333">
      <c r="F333" s="22"/>
      <c r="K333" s="23"/>
    </row>
    <row r="334">
      <c r="F334" s="22"/>
      <c r="K334" s="23"/>
    </row>
    <row r="335">
      <c r="F335" s="22"/>
      <c r="K335" s="23"/>
    </row>
    <row r="336">
      <c r="F336" s="22"/>
      <c r="K336" s="23"/>
    </row>
    <row r="337">
      <c r="F337" s="22"/>
      <c r="K337" s="23"/>
    </row>
    <row r="338">
      <c r="F338" s="22"/>
      <c r="K338" s="23"/>
    </row>
    <row r="339">
      <c r="F339" s="22"/>
      <c r="K339" s="23"/>
    </row>
    <row r="340">
      <c r="F340" s="22"/>
      <c r="K340" s="23"/>
    </row>
    <row r="341">
      <c r="F341" s="22"/>
      <c r="K341" s="23"/>
    </row>
    <row r="342">
      <c r="F342" s="22"/>
      <c r="K342" s="23"/>
    </row>
    <row r="343">
      <c r="F343" s="22"/>
      <c r="K343" s="23"/>
    </row>
    <row r="344">
      <c r="F344" s="22"/>
      <c r="K344" s="23"/>
    </row>
    <row r="345">
      <c r="F345" s="22"/>
      <c r="K345" s="23"/>
    </row>
    <row r="346">
      <c r="F346" s="22"/>
      <c r="K346" s="23"/>
    </row>
    <row r="347">
      <c r="F347" s="22"/>
      <c r="K347" s="23"/>
    </row>
    <row r="348">
      <c r="F348" s="22"/>
      <c r="K348" s="23"/>
    </row>
    <row r="349">
      <c r="F349" s="22"/>
      <c r="K349" s="23"/>
    </row>
    <row r="350">
      <c r="F350" s="22"/>
      <c r="K350" s="23"/>
    </row>
    <row r="351">
      <c r="F351" s="22"/>
      <c r="K351" s="23"/>
    </row>
    <row r="352">
      <c r="F352" s="22"/>
      <c r="K352" s="23"/>
    </row>
    <row r="353">
      <c r="F353" s="22"/>
      <c r="K353" s="23"/>
    </row>
    <row r="354">
      <c r="F354" s="22"/>
      <c r="K354" s="23"/>
    </row>
    <row r="355">
      <c r="F355" s="22"/>
      <c r="K355" s="23"/>
    </row>
    <row r="356">
      <c r="F356" s="22"/>
      <c r="K356" s="23"/>
    </row>
    <row r="357">
      <c r="F357" s="22"/>
      <c r="K357" s="23"/>
    </row>
    <row r="358">
      <c r="F358" s="22"/>
      <c r="K358" s="23"/>
    </row>
    <row r="359">
      <c r="F359" s="22"/>
      <c r="K359" s="23"/>
    </row>
    <row r="360">
      <c r="F360" s="22"/>
      <c r="K360" s="23"/>
    </row>
    <row r="361">
      <c r="F361" s="22"/>
      <c r="K361" s="23"/>
    </row>
    <row r="362">
      <c r="F362" s="22"/>
      <c r="K362" s="23"/>
    </row>
    <row r="363">
      <c r="F363" s="22"/>
      <c r="K363" s="23"/>
    </row>
    <row r="364">
      <c r="F364" s="22"/>
      <c r="K364" s="23"/>
    </row>
    <row r="365">
      <c r="F365" s="22"/>
      <c r="K365" s="23"/>
    </row>
    <row r="366">
      <c r="F366" s="22"/>
      <c r="K366" s="23"/>
    </row>
    <row r="367">
      <c r="F367" s="22"/>
      <c r="K367" s="23"/>
    </row>
    <row r="368">
      <c r="F368" s="22"/>
      <c r="K368" s="23"/>
    </row>
    <row r="369">
      <c r="F369" s="22"/>
      <c r="K369" s="23"/>
    </row>
    <row r="370">
      <c r="F370" s="22"/>
      <c r="K370" s="23"/>
    </row>
    <row r="371">
      <c r="F371" s="22"/>
      <c r="K371" s="23"/>
    </row>
    <row r="372">
      <c r="F372" s="22"/>
      <c r="K372" s="23"/>
    </row>
    <row r="373">
      <c r="F373" s="22"/>
      <c r="K373" s="23"/>
    </row>
    <row r="374">
      <c r="F374" s="22"/>
      <c r="K374" s="23"/>
    </row>
    <row r="375">
      <c r="F375" s="22"/>
      <c r="K375" s="23"/>
    </row>
    <row r="376">
      <c r="F376" s="22"/>
      <c r="K376" s="23"/>
    </row>
    <row r="377">
      <c r="F377" s="22"/>
      <c r="K377" s="23"/>
    </row>
    <row r="378">
      <c r="F378" s="22"/>
      <c r="K378" s="23"/>
    </row>
    <row r="379">
      <c r="F379" s="22"/>
      <c r="K379" s="23"/>
    </row>
    <row r="380">
      <c r="F380" s="22"/>
      <c r="K380" s="23"/>
    </row>
    <row r="381">
      <c r="F381" s="22"/>
      <c r="K381" s="23"/>
    </row>
    <row r="382">
      <c r="F382" s="22"/>
      <c r="K382" s="23"/>
    </row>
    <row r="383">
      <c r="F383" s="22"/>
      <c r="K383" s="23"/>
    </row>
    <row r="384">
      <c r="F384" s="22"/>
      <c r="K384" s="23"/>
    </row>
    <row r="385">
      <c r="F385" s="22"/>
      <c r="K385" s="23"/>
    </row>
    <row r="386">
      <c r="F386" s="22"/>
      <c r="K386" s="23"/>
    </row>
    <row r="387">
      <c r="F387" s="22"/>
      <c r="K387" s="23"/>
    </row>
    <row r="388">
      <c r="F388" s="22"/>
      <c r="K388" s="23"/>
    </row>
    <row r="389">
      <c r="F389" s="22"/>
      <c r="K389" s="23"/>
    </row>
    <row r="390">
      <c r="F390" s="22"/>
      <c r="K390" s="23"/>
    </row>
    <row r="391">
      <c r="F391" s="22"/>
      <c r="K391" s="23"/>
    </row>
    <row r="392">
      <c r="F392" s="22"/>
      <c r="K392" s="23"/>
    </row>
    <row r="393">
      <c r="F393" s="22"/>
      <c r="K393" s="23"/>
    </row>
    <row r="394">
      <c r="F394" s="22"/>
      <c r="K394" s="23"/>
    </row>
    <row r="395">
      <c r="F395" s="22"/>
      <c r="K395" s="23"/>
    </row>
    <row r="396">
      <c r="F396" s="22"/>
      <c r="K396" s="23"/>
    </row>
    <row r="397">
      <c r="F397" s="22"/>
      <c r="K397" s="23"/>
    </row>
    <row r="398">
      <c r="F398" s="22"/>
      <c r="K398" s="23"/>
    </row>
    <row r="399">
      <c r="F399" s="22"/>
      <c r="K399" s="23"/>
    </row>
    <row r="400">
      <c r="F400" s="22"/>
      <c r="K400" s="23"/>
    </row>
    <row r="401">
      <c r="F401" s="22"/>
      <c r="K401" s="23"/>
    </row>
    <row r="402">
      <c r="F402" s="22"/>
      <c r="K402" s="23"/>
    </row>
    <row r="403">
      <c r="F403" s="22"/>
      <c r="K403" s="23"/>
    </row>
    <row r="404">
      <c r="F404" s="22"/>
      <c r="K404" s="23"/>
    </row>
    <row r="405">
      <c r="F405" s="22"/>
      <c r="K405" s="23"/>
    </row>
    <row r="406">
      <c r="F406" s="22"/>
      <c r="K406" s="23"/>
    </row>
    <row r="407">
      <c r="F407" s="22"/>
      <c r="K407" s="23"/>
    </row>
    <row r="408">
      <c r="F408" s="22"/>
      <c r="K408" s="23"/>
    </row>
    <row r="409">
      <c r="F409" s="22"/>
      <c r="K409" s="23"/>
    </row>
    <row r="410">
      <c r="F410" s="22"/>
      <c r="K410" s="23"/>
    </row>
    <row r="411">
      <c r="F411" s="22"/>
      <c r="K411" s="23"/>
    </row>
    <row r="412">
      <c r="F412" s="22"/>
      <c r="K412" s="23"/>
    </row>
    <row r="413">
      <c r="F413" s="22"/>
      <c r="K413" s="23"/>
    </row>
    <row r="414">
      <c r="F414" s="22"/>
      <c r="K414" s="23"/>
    </row>
    <row r="415">
      <c r="F415" s="22"/>
      <c r="K415" s="23"/>
    </row>
    <row r="416">
      <c r="F416" s="22"/>
      <c r="K416" s="23"/>
    </row>
    <row r="417">
      <c r="F417" s="22"/>
      <c r="K417" s="23"/>
    </row>
    <row r="418">
      <c r="F418" s="22"/>
      <c r="K418" s="23"/>
    </row>
    <row r="419">
      <c r="F419" s="22"/>
      <c r="K419" s="23"/>
    </row>
    <row r="420">
      <c r="F420" s="22"/>
      <c r="K420" s="23"/>
    </row>
    <row r="421">
      <c r="F421" s="22"/>
      <c r="K421" s="23"/>
    </row>
    <row r="422">
      <c r="F422" s="22"/>
      <c r="K422" s="23"/>
    </row>
    <row r="423">
      <c r="F423" s="22"/>
      <c r="K423" s="23"/>
    </row>
    <row r="424">
      <c r="F424" s="22"/>
      <c r="K424" s="23"/>
    </row>
    <row r="425">
      <c r="F425" s="22"/>
      <c r="K425" s="23"/>
    </row>
    <row r="426">
      <c r="F426" s="22"/>
      <c r="K426" s="23"/>
    </row>
    <row r="427">
      <c r="F427" s="22"/>
      <c r="K427" s="23"/>
    </row>
    <row r="428">
      <c r="F428" s="22"/>
      <c r="K428" s="23"/>
    </row>
    <row r="429">
      <c r="F429" s="22"/>
      <c r="K429" s="23"/>
    </row>
    <row r="430">
      <c r="F430" s="22"/>
      <c r="K430" s="23"/>
    </row>
    <row r="431">
      <c r="F431" s="22"/>
      <c r="K431" s="23"/>
    </row>
    <row r="432">
      <c r="F432" s="22"/>
      <c r="K432" s="23"/>
    </row>
    <row r="433">
      <c r="F433" s="22"/>
      <c r="K433" s="23"/>
    </row>
    <row r="434">
      <c r="F434" s="22"/>
      <c r="K434" s="23"/>
    </row>
    <row r="435">
      <c r="F435" s="22"/>
      <c r="K435" s="23"/>
    </row>
    <row r="436">
      <c r="F436" s="22"/>
      <c r="K436" s="23"/>
    </row>
    <row r="437">
      <c r="F437" s="22"/>
      <c r="K437" s="23"/>
    </row>
    <row r="438">
      <c r="F438" s="22"/>
      <c r="K438" s="23"/>
    </row>
    <row r="439">
      <c r="F439" s="22"/>
      <c r="K439" s="23"/>
    </row>
    <row r="440">
      <c r="F440" s="22"/>
      <c r="K440" s="23"/>
    </row>
    <row r="441">
      <c r="F441" s="22"/>
      <c r="K441" s="23"/>
    </row>
    <row r="442">
      <c r="F442" s="22"/>
      <c r="K442" s="23"/>
    </row>
    <row r="443">
      <c r="F443" s="22"/>
      <c r="K443" s="23"/>
    </row>
    <row r="444">
      <c r="F444" s="22"/>
      <c r="K444" s="23"/>
    </row>
    <row r="445">
      <c r="F445" s="22"/>
      <c r="K445" s="23"/>
    </row>
    <row r="446">
      <c r="F446" s="22"/>
      <c r="K446" s="23"/>
    </row>
    <row r="447">
      <c r="F447" s="22"/>
      <c r="K447" s="23"/>
    </row>
    <row r="448">
      <c r="F448" s="22"/>
      <c r="K448" s="23"/>
    </row>
    <row r="449">
      <c r="F449" s="22"/>
      <c r="K449" s="23"/>
    </row>
    <row r="450">
      <c r="F450" s="22"/>
      <c r="K450" s="23"/>
    </row>
    <row r="451">
      <c r="F451" s="22"/>
      <c r="K451" s="23"/>
    </row>
    <row r="452">
      <c r="F452" s="22"/>
      <c r="K452" s="23"/>
    </row>
    <row r="453">
      <c r="F453" s="22"/>
      <c r="K453" s="23"/>
    </row>
    <row r="454">
      <c r="F454" s="22"/>
      <c r="K454" s="23"/>
    </row>
    <row r="455">
      <c r="F455" s="22"/>
      <c r="K455" s="23"/>
    </row>
    <row r="456">
      <c r="F456" s="22"/>
      <c r="K456" s="23"/>
    </row>
    <row r="457">
      <c r="F457" s="22"/>
      <c r="K457" s="23"/>
    </row>
    <row r="458">
      <c r="F458" s="22"/>
      <c r="K458" s="23"/>
    </row>
    <row r="459">
      <c r="F459" s="22"/>
      <c r="K459" s="23"/>
    </row>
    <row r="460">
      <c r="F460" s="22"/>
      <c r="K460" s="23"/>
    </row>
    <row r="461">
      <c r="F461" s="22"/>
      <c r="K461" s="23"/>
    </row>
    <row r="462">
      <c r="F462" s="22"/>
      <c r="K462" s="23"/>
    </row>
    <row r="463">
      <c r="F463" s="22"/>
      <c r="K463" s="23"/>
    </row>
    <row r="464">
      <c r="F464" s="22"/>
      <c r="K464" s="23"/>
    </row>
    <row r="465">
      <c r="F465" s="22"/>
      <c r="K465" s="23"/>
    </row>
    <row r="466">
      <c r="F466" s="22"/>
      <c r="K466" s="23"/>
    </row>
    <row r="467">
      <c r="F467" s="22"/>
      <c r="K467" s="23"/>
    </row>
    <row r="468">
      <c r="F468" s="22"/>
      <c r="K468" s="23"/>
    </row>
    <row r="469">
      <c r="F469" s="22"/>
      <c r="K469" s="23"/>
    </row>
    <row r="470">
      <c r="F470" s="22"/>
      <c r="K470" s="23"/>
    </row>
    <row r="471">
      <c r="F471" s="22"/>
      <c r="K471" s="23"/>
    </row>
    <row r="472">
      <c r="F472" s="22"/>
      <c r="K472" s="23"/>
    </row>
    <row r="473">
      <c r="F473" s="22"/>
      <c r="K473" s="23"/>
    </row>
    <row r="474">
      <c r="F474" s="22"/>
      <c r="K474" s="23"/>
    </row>
    <row r="475">
      <c r="F475" s="22"/>
      <c r="K475" s="23"/>
    </row>
    <row r="476">
      <c r="F476" s="22"/>
      <c r="K476" s="23"/>
    </row>
    <row r="477">
      <c r="F477" s="22"/>
      <c r="K477" s="23"/>
    </row>
    <row r="478">
      <c r="F478" s="22"/>
      <c r="K478" s="23"/>
    </row>
    <row r="479">
      <c r="F479" s="22"/>
      <c r="K479" s="23"/>
    </row>
    <row r="480">
      <c r="F480" s="22"/>
      <c r="K480" s="23"/>
    </row>
    <row r="481">
      <c r="F481" s="22"/>
      <c r="K481" s="23"/>
    </row>
    <row r="482">
      <c r="F482" s="22"/>
      <c r="K482" s="23"/>
    </row>
    <row r="483">
      <c r="F483" s="22"/>
      <c r="K483" s="23"/>
    </row>
    <row r="484">
      <c r="F484" s="22"/>
      <c r="K484" s="23"/>
    </row>
    <row r="485">
      <c r="F485" s="22"/>
      <c r="K485" s="23"/>
    </row>
    <row r="486">
      <c r="F486" s="22"/>
      <c r="K486" s="23"/>
    </row>
    <row r="487">
      <c r="F487" s="22"/>
      <c r="K487" s="23"/>
    </row>
    <row r="488">
      <c r="F488" s="22"/>
      <c r="K488" s="23"/>
    </row>
    <row r="489">
      <c r="F489" s="22"/>
      <c r="K489" s="23"/>
    </row>
    <row r="490">
      <c r="F490" s="22"/>
      <c r="K490" s="23"/>
    </row>
    <row r="491">
      <c r="F491" s="22"/>
      <c r="K491" s="23"/>
    </row>
    <row r="492">
      <c r="F492" s="22"/>
      <c r="K492" s="23"/>
    </row>
    <row r="493">
      <c r="F493" s="22"/>
      <c r="K493" s="23"/>
    </row>
    <row r="494">
      <c r="F494" s="22"/>
      <c r="K494" s="23"/>
    </row>
    <row r="495">
      <c r="F495" s="22"/>
      <c r="K495" s="23"/>
    </row>
    <row r="496">
      <c r="F496" s="22"/>
      <c r="K496" s="23"/>
    </row>
    <row r="497">
      <c r="F497" s="22"/>
      <c r="K497" s="23"/>
    </row>
    <row r="498">
      <c r="F498" s="22"/>
      <c r="K498" s="23"/>
    </row>
    <row r="499">
      <c r="F499" s="22"/>
      <c r="K499" s="23"/>
    </row>
    <row r="500">
      <c r="F500" s="22"/>
      <c r="K500" s="23"/>
    </row>
    <row r="501">
      <c r="F501" s="22"/>
      <c r="K501" s="23"/>
    </row>
    <row r="502">
      <c r="F502" s="22"/>
      <c r="K502" s="23"/>
    </row>
    <row r="503">
      <c r="F503" s="22"/>
      <c r="K503" s="23"/>
    </row>
    <row r="504">
      <c r="F504" s="22"/>
      <c r="K504" s="23"/>
    </row>
    <row r="505">
      <c r="F505" s="22"/>
      <c r="K505" s="23"/>
    </row>
    <row r="506">
      <c r="F506" s="22"/>
      <c r="K506" s="23"/>
    </row>
    <row r="507">
      <c r="F507" s="22"/>
      <c r="K507" s="23"/>
    </row>
    <row r="508">
      <c r="F508" s="22"/>
      <c r="K508" s="23"/>
    </row>
    <row r="509">
      <c r="F509" s="22"/>
      <c r="K509" s="23"/>
    </row>
    <row r="510">
      <c r="F510" s="22"/>
      <c r="K510" s="23"/>
    </row>
    <row r="511">
      <c r="F511" s="22"/>
      <c r="K511" s="23"/>
    </row>
    <row r="512">
      <c r="F512" s="22"/>
      <c r="K512" s="23"/>
    </row>
    <row r="513">
      <c r="F513" s="22"/>
      <c r="K513" s="23"/>
    </row>
    <row r="514">
      <c r="F514" s="22"/>
      <c r="K514" s="23"/>
    </row>
    <row r="515">
      <c r="F515" s="22"/>
      <c r="K515" s="23"/>
    </row>
    <row r="516">
      <c r="F516" s="22"/>
      <c r="K516" s="23"/>
    </row>
    <row r="517">
      <c r="F517" s="22"/>
      <c r="K517" s="23"/>
    </row>
    <row r="518">
      <c r="F518" s="22"/>
      <c r="K518" s="23"/>
    </row>
    <row r="519">
      <c r="F519" s="22"/>
      <c r="K519" s="23"/>
    </row>
    <row r="520">
      <c r="F520" s="22"/>
      <c r="K520" s="23"/>
    </row>
    <row r="521">
      <c r="F521" s="22"/>
      <c r="K521" s="23"/>
    </row>
    <row r="522">
      <c r="F522" s="22"/>
      <c r="K522" s="23"/>
    </row>
    <row r="523">
      <c r="F523" s="22"/>
      <c r="K523" s="23"/>
    </row>
    <row r="524">
      <c r="F524" s="22"/>
      <c r="K524" s="23"/>
    </row>
    <row r="525">
      <c r="F525" s="22"/>
      <c r="K525" s="23"/>
    </row>
    <row r="526">
      <c r="F526" s="22"/>
      <c r="K526" s="23"/>
    </row>
    <row r="527">
      <c r="F527" s="22"/>
      <c r="K527" s="23"/>
    </row>
    <row r="528">
      <c r="F528" s="22"/>
      <c r="K528" s="23"/>
    </row>
    <row r="529">
      <c r="F529" s="22"/>
      <c r="K529" s="23"/>
    </row>
    <row r="530">
      <c r="F530" s="22"/>
      <c r="K530" s="23"/>
    </row>
    <row r="531">
      <c r="F531" s="22"/>
      <c r="K531" s="23"/>
    </row>
    <row r="532">
      <c r="F532" s="22"/>
      <c r="K532" s="23"/>
    </row>
    <row r="533">
      <c r="F533" s="22"/>
      <c r="K533" s="23"/>
    </row>
    <row r="534">
      <c r="F534" s="22"/>
      <c r="K534" s="23"/>
    </row>
    <row r="535">
      <c r="F535" s="22"/>
      <c r="K535" s="23"/>
    </row>
    <row r="536">
      <c r="F536" s="22"/>
      <c r="K536" s="23"/>
    </row>
    <row r="537">
      <c r="F537" s="22"/>
      <c r="K537" s="23"/>
    </row>
    <row r="538">
      <c r="F538" s="22"/>
      <c r="K538" s="23"/>
    </row>
    <row r="539">
      <c r="F539" s="22"/>
      <c r="K539" s="23"/>
    </row>
    <row r="540">
      <c r="F540" s="22"/>
      <c r="K540" s="23"/>
    </row>
    <row r="541">
      <c r="F541" s="22"/>
      <c r="K541" s="23"/>
    </row>
    <row r="542">
      <c r="F542" s="22"/>
      <c r="K542" s="23"/>
    </row>
    <row r="543">
      <c r="F543" s="22"/>
      <c r="K543" s="23"/>
    </row>
    <row r="544">
      <c r="F544" s="22"/>
      <c r="K544" s="23"/>
    </row>
    <row r="545">
      <c r="F545" s="22"/>
      <c r="K545" s="23"/>
    </row>
    <row r="546">
      <c r="F546" s="22"/>
      <c r="K546" s="23"/>
    </row>
    <row r="547">
      <c r="F547" s="22"/>
      <c r="K547" s="23"/>
    </row>
    <row r="548">
      <c r="F548" s="22"/>
      <c r="K548" s="23"/>
    </row>
    <row r="549">
      <c r="F549" s="22"/>
      <c r="K549" s="23"/>
    </row>
    <row r="550">
      <c r="F550" s="22"/>
      <c r="K550" s="23"/>
    </row>
    <row r="551">
      <c r="F551" s="22"/>
      <c r="K551" s="23"/>
    </row>
    <row r="552">
      <c r="F552" s="22"/>
      <c r="K552" s="23"/>
    </row>
    <row r="553">
      <c r="F553" s="22"/>
      <c r="K553" s="23"/>
    </row>
    <row r="554">
      <c r="F554" s="22"/>
      <c r="K554" s="23"/>
    </row>
    <row r="555">
      <c r="F555" s="22"/>
      <c r="K555" s="23"/>
    </row>
    <row r="556">
      <c r="F556" s="22"/>
      <c r="K556" s="23"/>
    </row>
    <row r="557">
      <c r="F557" s="22"/>
      <c r="K557" s="23"/>
    </row>
    <row r="558">
      <c r="F558" s="22"/>
      <c r="K558" s="23"/>
    </row>
    <row r="559">
      <c r="F559" s="22"/>
      <c r="K559" s="23"/>
    </row>
    <row r="560">
      <c r="F560" s="22"/>
      <c r="K560" s="23"/>
    </row>
    <row r="561">
      <c r="F561" s="22"/>
      <c r="K561" s="23"/>
    </row>
    <row r="562">
      <c r="F562" s="22"/>
      <c r="K562" s="23"/>
    </row>
    <row r="563">
      <c r="F563" s="22"/>
      <c r="K563" s="23"/>
    </row>
    <row r="564">
      <c r="F564" s="22"/>
      <c r="K564" s="23"/>
    </row>
    <row r="565">
      <c r="F565" s="22"/>
      <c r="K565" s="23"/>
    </row>
    <row r="566">
      <c r="F566" s="22"/>
      <c r="K566" s="23"/>
    </row>
    <row r="567">
      <c r="F567" s="22"/>
      <c r="K567" s="23"/>
    </row>
    <row r="568">
      <c r="F568" s="22"/>
      <c r="K568" s="23"/>
    </row>
    <row r="569">
      <c r="F569" s="22"/>
      <c r="K569" s="23"/>
    </row>
    <row r="570">
      <c r="F570" s="22"/>
      <c r="K570" s="23"/>
    </row>
    <row r="571">
      <c r="F571" s="22"/>
      <c r="K571" s="23"/>
    </row>
    <row r="572">
      <c r="F572" s="22"/>
      <c r="K572" s="23"/>
    </row>
    <row r="573">
      <c r="F573" s="22"/>
      <c r="K573" s="23"/>
    </row>
    <row r="574">
      <c r="F574" s="22"/>
      <c r="K574" s="23"/>
    </row>
    <row r="575">
      <c r="F575" s="22"/>
      <c r="K575" s="23"/>
    </row>
    <row r="576">
      <c r="F576" s="22"/>
      <c r="K576" s="23"/>
    </row>
    <row r="577">
      <c r="F577" s="22"/>
      <c r="K577" s="23"/>
    </row>
    <row r="578">
      <c r="F578" s="22"/>
      <c r="K578" s="23"/>
    </row>
    <row r="579">
      <c r="F579" s="22"/>
      <c r="K579" s="23"/>
    </row>
    <row r="580">
      <c r="F580" s="22"/>
      <c r="K580" s="23"/>
    </row>
    <row r="581">
      <c r="F581" s="22"/>
      <c r="K581" s="23"/>
    </row>
    <row r="582">
      <c r="F582" s="22"/>
      <c r="K582" s="23"/>
    </row>
    <row r="583">
      <c r="F583" s="22"/>
      <c r="K583" s="23"/>
    </row>
    <row r="584">
      <c r="F584" s="22"/>
      <c r="K584" s="23"/>
    </row>
    <row r="585">
      <c r="F585" s="22"/>
      <c r="K585" s="23"/>
    </row>
    <row r="586">
      <c r="F586" s="22"/>
      <c r="K586" s="23"/>
    </row>
    <row r="587">
      <c r="F587" s="22"/>
      <c r="K587" s="23"/>
    </row>
    <row r="588">
      <c r="F588" s="22"/>
      <c r="K588" s="23"/>
    </row>
    <row r="589">
      <c r="F589" s="22"/>
      <c r="K589" s="23"/>
    </row>
    <row r="590">
      <c r="F590" s="22"/>
      <c r="K590" s="23"/>
    </row>
    <row r="591">
      <c r="F591" s="22"/>
      <c r="K591" s="23"/>
    </row>
    <row r="592">
      <c r="F592" s="22"/>
      <c r="K592" s="23"/>
    </row>
    <row r="593">
      <c r="F593" s="22"/>
      <c r="K593" s="23"/>
    </row>
    <row r="594">
      <c r="F594" s="22"/>
      <c r="K594" s="23"/>
    </row>
    <row r="595">
      <c r="F595" s="22"/>
      <c r="K595" s="23"/>
    </row>
    <row r="596">
      <c r="F596" s="22"/>
      <c r="K596" s="23"/>
    </row>
    <row r="597">
      <c r="F597" s="22"/>
      <c r="K597" s="23"/>
    </row>
    <row r="598">
      <c r="F598" s="22"/>
      <c r="K598" s="23"/>
    </row>
    <row r="599">
      <c r="F599" s="22"/>
      <c r="K599" s="23"/>
    </row>
    <row r="600">
      <c r="F600" s="22"/>
      <c r="K600" s="23"/>
    </row>
    <row r="601">
      <c r="F601" s="22"/>
      <c r="K601" s="23"/>
    </row>
    <row r="602">
      <c r="F602" s="22"/>
      <c r="K602" s="23"/>
    </row>
    <row r="603">
      <c r="F603" s="22"/>
      <c r="K603" s="23"/>
    </row>
    <row r="604">
      <c r="F604" s="22"/>
      <c r="K604" s="23"/>
    </row>
    <row r="605">
      <c r="F605" s="22"/>
      <c r="K605" s="23"/>
    </row>
    <row r="606">
      <c r="F606" s="22"/>
      <c r="K606" s="23"/>
    </row>
    <row r="607">
      <c r="F607" s="22"/>
      <c r="K607" s="23"/>
    </row>
    <row r="608">
      <c r="F608" s="22"/>
      <c r="K608" s="23"/>
    </row>
    <row r="609">
      <c r="F609" s="22"/>
      <c r="K609" s="23"/>
    </row>
    <row r="610">
      <c r="F610" s="22"/>
      <c r="K610" s="23"/>
    </row>
    <row r="611">
      <c r="F611" s="22"/>
      <c r="K611" s="23"/>
    </row>
    <row r="612">
      <c r="F612" s="22"/>
      <c r="K612" s="23"/>
    </row>
    <row r="613">
      <c r="F613" s="22"/>
      <c r="K613" s="23"/>
    </row>
    <row r="614">
      <c r="F614" s="22"/>
      <c r="K614" s="23"/>
    </row>
    <row r="615">
      <c r="F615" s="22"/>
      <c r="K615" s="23"/>
    </row>
    <row r="616">
      <c r="F616" s="22"/>
      <c r="K616" s="23"/>
    </row>
    <row r="617">
      <c r="F617" s="22"/>
      <c r="K617" s="23"/>
    </row>
    <row r="618">
      <c r="F618" s="22"/>
      <c r="K618" s="23"/>
    </row>
    <row r="619">
      <c r="F619" s="22"/>
      <c r="K619" s="23"/>
    </row>
    <row r="620">
      <c r="F620" s="22"/>
      <c r="K620" s="23"/>
    </row>
    <row r="621">
      <c r="F621" s="22"/>
      <c r="K621" s="23"/>
    </row>
    <row r="622">
      <c r="F622" s="22"/>
      <c r="K622" s="23"/>
    </row>
    <row r="623">
      <c r="F623" s="22"/>
      <c r="K623" s="23"/>
    </row>
    <row r="624">
      <c r="F624" s="22"/>
      <c r="K624" s="23"/>
    </row>
    <row r="625">
      <c r="F625" s="22"/>
      <c r="K625" s="23"/>
    </row>
    <row r="626">
      <c r="F626" s="22"/>
      <c r="K626" s="23"/>
    </row>
    <row r="627">
      <c r="F627" s="22"/>
      <c r="K627" s="23"/>
    </row>
    <row r="628">
      <c r="F628" s="22"/>
      <c r="K628" s="23"/>
    </row>
    <row r="629">
      <c r="F629" s="22"/>
      <c r="K629" s="23"/>
    </row>
    <row r="630">
      <c r="F630" s="22"/>
      <c r="K630" s="23"/>
    </row>
    <row r="631">
      <c r="F631" s="22"/>
      <c r="K631" s="23"/>
    </row>
    <row r="632">
      <c r="F632" s="22"/>
      <c r="K632" s="23"/>
    </row>
    <row r="633">
      <c r="F633" s="22"/>
      <c r="K633" s="23"/>
    </row>
    <row r="634">
      <c r="F634" s="22"/>
      <c r="K634" s="23"/>
    </row>
    <row r="635">
      <c r="F635" s="22"/>
      <c r="K635" s="23"/>
    </row>
    <row r="636">
      <c r="F636" s="22"/>
      <c r="K636" s="23"/>
    </row>
    <row r="637">
      <c r="F637" s="22"/>
      <c r="K637" s="23"/>
    </row>
    <row r="638">
      <c r="F638" s="22"/>
      <c r="K638" s="23"/>
    </row>
    <row r="639">
      <c r="F639" s="22"/>
      <c r="K639" s="23"/>
    </row>
    <row r="640">
      <c r="F640" s="22"/>
      <c r="K640" s="23"/>
    </row>
    <row r="641">
      <c r="F641" s="22"/>
      <c r="K641" s="23"/>
    </row>
    <row r="642">
      <c r="F642" s="22"/>
      <c r="K642" s="23"/>
    </row>
    <row r="643">
      <c r="F643" s="22"/>
      <c r="K643" s="23"/>
    </row>
    <row r="644">
      <c r="F644" s="22"/>
      <c r="K644" s="23"/>
    </row>
    <row r="645">
      <c r="F645" s="22"/>
      <c r="K645" s="23"/>
    </row>
    <row r="646">
      <c r="F646" s="22"/>
      <c r="K646" s="23"/>
    </row>
    <row r="647">
      <c r="F647" s="22"/>
      <c r="K647" s="23"/>
    </row>
    <row r="648">
      <c r="F648" s="22"/>
      <c r="K648" s="23"/>
    </row>
    <row r="649">
      <c r="F649" s="22"/>
      <c r="K649" s="23"/>
    </row>
    <row r="650">
      <c r="F650" s="22"/>
      <c r="K650" s="23"/>
    </row>
    <row r="651">
      <c r="F651" s="22"/>
      <c r="K651" s="23"/>
    </row>
    <row r="652">
      <c r="F652" s="22"/>
      <c r="K652" s="23"/>
    </row>
    <row r="653">
      <c r="F653" s="22"/>
      <c r="K653" s="23"/>
    </row>
    <row r="654">
      <c r="F654" s="22"/>
      <c r="K654" s="23"/>
    </row>
    <row r="655">
      <c r="F655" s="22"/>
      <c r="K655" s="23"/>
    </row>
    <row r="656">
      <c r="F656" s="22"/>
      <c r="K656" s="23"/>
    </row>
    <row r="657">
      <c r="F657" s="22"/>
      <c r="K657" s="23"/>
    </row>
    <row r="658">
      <c r="F658" s="22"/>
      <c r="K658" s="23"/>
    </row>
    <row r="659">
      <c r="F659" s="22"/>
      <c r="K659" s="23"/>
    </row>
    <row r="660">
      <c r="F660" s="22"/>
      <c r="K660" s="23"/>
    </row>
    <row r="661">
      <c r="F661" s="22"/>
      <c r="K661" s="23"/>
    </row>
    <row r="662">
      <c r="F662" s="22"/>
      <c r="K662" s="23"/>
    </row>
    <row r="663">
      <c r="F663" s="22"/>
      <c r="K663" s="23"/>
    </row>
    <row r="664">
      <c r="F664" s="22"/>
      <c r="K664" s="23"/>
    </row>
    <row r="665">
      <c r="F665" s="22"/>
      <c r="K665" s="23"/>
    </row>
    <row r="666">
      <c r="F666" s="22"/>
      <c r="K666" s="23"/>
    </row>
    <row r="667">
      <c r="F667" s="22"/>
      <c r="K667" s="23"/>
    </row>
    <row r="668">
      <c r="F668" s="22"/>
      <c r="K668" s="23"/>
    </row>
    <row r="669">
      <c r="F669" s="22"/>
      <c r="K669" s="23"/>
    </row>
    <row r="670">
      <c r="F670" s="22"/>
      <c r="K670" s="23"/>
    </row>
    <row r="671">
      <c r="F671" s="22"/>
      <c r="K671" s="23"/>
    </row>
    <row r="672">
      <c r="F672" s="22"/>
      <c r="K672" s="23"/>
    </row>
    <row r="673">
      <c r="F673" s="22"/>
      <c r="K673" s="23"/>
    </row>
    <row r="674">
      <c r="F674" s="22"/>
      <c r="K674" s="23"/>
    </row>
    <row r="675">
      <c r="F675" s="22"/>
      <c r="K675" s="23"/>
    </row>
    <row r="676">
      <c r="F676" s="22"/>
      <c r="K676" s="23"/>
    </row>
    <row r="677">
      <c r="F677" s="22"/>
      <c r="K677" s="23"/>
    </row>
    <row r="678">
      <c r="F678" s="22"/>
      <c r="K678" s="23"/>
    </row>
    <row r="679">
      <c r="F679" s="22"/>
      <c r="K679" s="23"/>
    </row>
    <row r="680">
      <c r="F680" s="22"/>
      <c r="K680" s="23"/>
    </row>
    <row r="681">
      <c r="F681" s="22"/>
      <c r="K681" s="23"/>
    </row>
    <row r="682">
      <c r="F682" s="22"/>
      <c r="K682" s="23"/>
    </row>
    <row r="683">
      <c r="F683" s="22"/>
      <c r="K683" s="23"/>
    </row>
    <row r="684">
      <c r="F684" s="22"/>
      <c r="K684" s="23"/>
    </row>
    <row r="685">
      <c r="F685" s="22"/>
      <c r="K685" s="23"/>
    </row>
    <row r="686">
      <c r="F686" s="22"/>
      <c r="K686" s="23"/>
    </row>
    <row r="687">
      <c r="F687" s="22"/>
      <c r="K687" s="23"/>
    </row>
    <row r="688">
      <c r="F688" s="22"/>
      <c r="K688" s="23"/>
    </row>
    <row r="689">
      <c r="F689" s="22"/>
      <c r="K689" s="23"/>
    </row>
    <row r="690">
      <c r="F690" s="22"/>
      <c r="K690" s="23"/>
    </row>
    <row r="691">
      <c r="F691" s="22"/>
      <c r="K691" s="23"/>
    </row>
    <row r="692">
      <c r="F692" s="22"/>
      <c r="K692" s="23"/>
    </row>
    <row r="693">
      <c r="F693" s="22"/>
      <c r="K693" s="23"/>
    </row>
    <row r="694">
      <c r="F694" s="22"/>
      <c r="K694" s="23"/>
    </row>
    <row r="695">
      <c r="F695" s="22"/>
      <c r="K695" s="23"/>
    </row>
    <row r="696">
      <c r="F696" s="22"/>
      <c r="K696" s="23"/>
    </row>
    <row r="697">
      <c r="F697" s="22"/>
      <c r="K697" s="23"/>
    </row>
    <row r="698">
      <c r="F698" s="22"/>
      <c r="K698" s="23"/>
    </row>
    <row r="699">
      <c r="F699" s="22"/>
      <c r="K699" s="23"/>
    </row>
    <row r="700">
      <c r="F700" s="22"/>
      <c r="K700" s="23"/>
    </row>
    <row r="701">
      <c r="F701" s="22"/>
      <c r="K701" s="23"/>
    </row>
    <row r="702">
      <c r="F702" s="22"/>
      <c r="K702" s="23"/>
    </row>
    <row r="703">
      <c r="F703" s="22"/>
      <c r="K703" s="23"/>
    </row>
    <row r="704">
      <c r="F704" s="22"/>
      <c r="K704" s="23"/>
    </row>
    <row r="705">
      <c r="F705" s="22"/>
      <c r="K705" s="23"/>
    </row>
    <row r="706">
      <c r="F706" s="22"/>
      <c r="K706" s="23"/>
    </row>
    <row r="707">
      <c r="F707" s="22"/>
      <c r="K707" s="23"/>
    </row>
    <row r="708">
      <c r="F708" s="22"/>
      <c r="K708" s="23"/>
    </row>
    <row r="709">
      <c r="F709" s="22"/>
      <c r="K709" s="23"/>
    </row>
    <row r="710">
      <c r="F710" s="22"/>
      <c r="K710" s="23"/>
    </row>
    <row r="711">
      <c r="F711" s="22"/>
      <c r="K711" s="23"/>
    </row>
    <row r="712">
      <c r="F712" s="22"/>
      <c r="K712" s="23"/>
    </row>
    <row r="713">
      <c r="F713" s="22"/>
      <c r="K713" s="23"/>
    </row>
    <row r="714">
      <c r="F714" s="22"/>
      <c r="K714" s="23"/>
    </row>
    <row r="715">
      <c r="F715" s="22"/>
      <c r="K715" s="23"/>
    </row>
    <row r="716">
      <c r="F716" s="22"/>
      <c r="K716" s="23"/>
    </row>
    <row r="717">
      <c r="F717" s="22"/>
      <c r="K717" s="23"/>
    </row>
    <row r="718">
      <c r="F718" s="22"/>
      <c r="K718" s="23"/>
    </row>
    <row r="719">
      <c r="F719" s="22"/>
      <c r="K719" s="23"/>
    </row>
    <row r="720">
      <c r="F720" s="22"/>
      <c r="K720" s="23"/>
    </row>
    <row r="721">
      <c r="F721" s="22"/>
      <c r="K721" s="23"/>
    </row>
    <row r="722">
      <c r="F722" s="22"/>
      <c r="K722" s="23"/>
    </row>
    <row r="723">
      <c r="F723" s="22"/>
      <c r="K723" s="23"/>
    </row>
    <row r="724">
      <c r="F724" s="22"/>
      <c r="K724" s="23"/>
    </row>
    <row r="725">
      <c r="F725" s="22"/>
      <c r="K725" s="23"/>
    </row>
    <row r="726">
      <c r="F726" s="22"/>
      <c r="K726" s="23"/>
    </row>
    <row r="727">
      <c r="F727" s="22"/>
      <c r="K727" s="23"/>
    </row>
    <row r="728">
      <c r="F728" s="22"/>
      <c r="K728" s="23"/>
    </row>
    <row r="729">
      <c r="F729" s="22"/>
      <c r="K729" s="23"/>
    </row>
    <row r="730">
      <c r="F730" s="22"/>
      <c r="K730" s="23"/>
    </row>
    <row r="731">
      <c r="F731" s="22"/>
      <c r="K731" s="23"/>
    </row>
    <row r="732">
      <c r="F732" s="22"/>
      <c r="K732" s="23"/>
    </row>
    <row r="733">
      <c r="F733" s="22"/>
      <c r="K733" s="23"/>
    </row>
    <row r="734">
      <c r="F734" s="22"/>
      <c r="K734" s="23"/>
    </row>
    <row r="735">
      <c r="F735" s="22"/>
      <c r="K735" s="23"/>
    </row>
    <row r="736">
      <c r="F736" s="22"/>
      <c r="K736" s="23"/>
    </row>
    <row r="737">
      <c r="F737" s="22"/>
      <c r="K737" s="23"/>
    </row>
    <row r="738">
      <c r="F738" s="22"/>
      <c r="K738" s="23"/>
    </row>
    <row r="739">
      <c r="F739" s="22"/>
      <c r="K739" s="23"/>
    </row>
    <row r="740">
      <c r="F740" s="22"/>
      <c r="K740" s="23"/>
    </row>
    <row r="741">
      <c r="F741" s="22"/>
      <c r="K741" s="23"/>
    </row>
    <row r="742">
      <c r="F742" s="22"/>
      <c r="K742" s="23"/>
    </row>
    <row r="743">
      <c r="F743" s="22"/>
      <c r="K743" s="23"/>
    </row>
    <row r="744">
      <c r="F744" s="22"/>
      <c r="K744" s="23"/>
    </row>
    <row r="745">
      <c r="F745" s="22"/>
      <c r="K745" s="23"/>
    </row>
    <row r="746">
      <c r="F746" s="22"/>
      <c r="K746" s="23"/>
    </row>
    <row r="747">
      <c r="F747" s="22"/>
      <c r="K747" s="23"/>
    </row>
    <row r="748">
      <c r="F748" s="22"/>
      <c r="K748" s="23"/>
    </row>
    <row r="749">
      <c r="F749" s="22"/>
      <c r="K749" s="23"/>
    </row>
    <row r="750">
      <c r="F750" s="22"/>
      <c r="K750" s="23"/>
    </row>
    <row r="751">
      <c r="F751" s="22"/>
      <c r="K751" s="23"/>
    </row>
    <row r="752">
      <c r="F752" s="22"/>
      <c r="K752" s="23"/>
    </row>
    <row r="753">
      <c r="F753" s="22"/>
      <c r="K753" s="23"/>
    </row>
    <row r="754">
      <c r="F754" s="22"/>
      <c r="K754" s="23"/>
    </row>
    <row r="755">
      <c r="F755" s="22"/>
      <c r="K755" s="23"/>
    </row>
    <row r="756">
      <c r="F756" s="22"/>
      <c r="K756" s="23"/>
    </row>
    <row r="757">
      <c r="F757" s="22"/>
      <c r="K757" s="23"/>
    </row>
    <row r="758">
      <c r="F758" s="22"/>
      <c r="K758" s="23"/>
    </row>
    <row r="759">
      <c r="F759" s="22"/>
      <c r="K759" s="23"/>
    </row>
    <row r="760">
      <c r="F760" s="22"/>
      <c r="K760" s="23"/>
    </row>
    <row r="761">
      <c r="F761" s="22"/>
      <c r="K761" s="23"/>
    </row>
    <row r="762">
      <c r="F762" s="22"/>
      <c r="K762" s="23"/>
    </row>
    <row r="763">
      <c r="F763" s="22"/>
      <c r="K763" s="23"/>
    </row>
    <row r="764">
      <c r="F764" s="22"/>
      <c r="K764" s="23"/>
    </row>
    <row r="765">
      <c r="F765" s="22"/>
      <c r="K765" s="23"/>
    </row>
    <row r="766">
      <c r="F766" s="22"/>
      <c r="K766" s="23"/>
    </row>
    <row r="767">
      <c r="F767" s="22"/>
      <c r="K767" s="23"/>
    </row>
    <row r="768">
      <c r="F768" s="22"/>
      <c r="K768" s="23"/>
    </row>
    <row r="769">
      <c r="F769" s="22"/>
      <c r="K769" s="23"/>
    </row>
    <row r="770">
      <c r="F770" s="22"/>
      <c r="K770" s="23"/>
    </row>
    <row r="771">
      <c r="F771" s="22"/>
      <c r="K771" s="23"/>
    </row>
    <row r="772">
      <c r="F772" s="22"/>
      <c r="K772" s="23"/>
    </row>
    <row r="773">
      <c r="F773" s="22"/>
      <c r="K773" s="23"/>
    </row>
    <row r="774">
      <c r="F774" s="22"/>
      <c r="K774" s="23"/>
    </row>
    <row r="775">
      <c r="F775" s="22"/>
      <c r="K775" s="23"/>
    </row>
    <row r="776">
      <c r="F776" s="22"/>
      <c r="K776" s="23"/>
    </row>
    <row r="777">
      <c r="F777" s="22"/>
      <c r="K777" s="23"/>
    </row>
    <row r="778">
      <c r="F778" s="22"/>
      <c r="K778" s="23"/>
    </row>
    <row r="779">
      <c r="F779" s="22"/>
      <c r="K779" s="23"/>
    </row>
    <row r="780">
      <c r="F780" s="22"/>
      <c r="K780" s="23"/>
    </row>
    <row r="781">
      <c r="F781" s="22"/>
      <c r="K781" s="23"/>
    </row>
    <row r="782">
      <c r="F782" s="22"/>
      <c r="K782" s="23"/>
    </row>
    <row r="783">
      <c r="F783" s="22"/>
      <c r="K783" s="23"/>
    </row>
    <row r="784">
      <c r="F784" s="22"/>
      <c r="K784" s="23"/>
    </row>
    <row r="785">
      <c r="F785" s="22"/>
      <c r="K785" s="23"/>
    </row>
    <row r="786">
      <c r="F786" s="22"/>
      <c r="K786" s="23"/>
    </row>
    <row r="787">
      <c r="F787" s="22"/>
      <c r="K787" s="23"/>
    </row>
    <row r="788">
      <c r="F788" s="22"/>
      <c r="K788" s="23"/>
    </row>
    <row r="789">
      <c r="F789" s="22"/>
      <c r="K789" s="23"/>
    </row>
    <row r="790">
      <c r="F790" s="22"/>
      <c r="K790" s="23"/>
    </row>
    <row r="791">
      <c r="F791" s="22"/>
      <c r="K791" s="23"/>
    </row>
    <row r="792">
      <c r="F792" s="22"/>
      <c r="K792" s="23"/>
    </row>
    <row r="793">
      <c r="F793" s="22"/>
      <c r="K793" s="23"/>
    </row>
    <row r="794">
      <c r="F794" s="22"/>
      <c r="K794" s="23"/>
    </row>
    <row r="795">
      <c r="F795" s="22"/>
      <c r="K795" s="23"/>
    </row>
    <row r="796">
      <c r="F796" s="22"/>
      <c r="K796" s="23"/>
    </row>
    <row r="797">
      <c r="F797" s="22"/>
      <c r="K797" s="23"/>
    </row>
    <row r="798">
      <c r="F798" s="22"/>
      <c r="K798" s="23"/>
    </row>
    <row r="799">
      <c r="F799" s="22"/>
      <c r="K799" s="23"/>
    </row>
    <row r="800">
      <c r="F800" s="22"/>
      <c r="K800" s="23"/>
    </row>
    <row r="801">
      <c r="F801" s="22"/>
      <c r="K801" s="23"/>
    </row>
    <row r="802">
      <c r="F802" s="22"/>
      <c r="K802" s="23"/>
    </row>
    <row r="803">
      <c r="F803" s="22"/>
      <c r="K803" s="23"/>
    </row>
    <row r="804">
      <c r="F804" s="22"/>
      <c r="K804" s="23"/>
    </row>
    <row r="805">
      <c r="F805" s="22"/>
      <c r="K805" s="23"/>
    </row>
    <row r="806">
      <c r="F806" s="22"/>
      <c r="K806" s="23"/>
    </row>
    <row r="807">
      <c r="F807" s="22"/>
      <c r="K807" s="23"/>
    </row>
    <row r="808">
      <c r="F808" s="22"/>
      <c r="K808" s="23"/>
    </row>
    <row r="809">
      <c r="F809" s="22"/>
      <c r="K809" s="23"/>
    </row>
    <row r="810">
      <c r="F810" s="22"/>
      <c r="K810" s="23"/>
    </row>
    <row r="811">
      <c r="F811" s="22"/>
      <c r="K811" s="23"/>
    </row>
    <row r="812">
      <c r="F812" s="22"/>
      <c r="K812" s="23"/>
    </row>
    <row r="813">
      <c r="F813" s="22"/>
      <c r="K813" s="23"/>
    </row>
    <row r="814">
      <c r="F814" s="22"/>
      <c r="K814" s="23"/>
    </row>
    <row r="815">
      <c r="F815" s="22"/>
      <c r="K815" s="23"/>
    </row>
    <row r="816">
      <c r="F816" s="22"/>
      <c r="K816" s="23"/>
    </row>
    <row r="817">
      <c r="F817" s="22"/>
      <c r="K817" s="23"/>
    </row>
    <row r="818">
      <c r="F818" s="22"/>
      <c r="K818" s="23"/>
    </row>
    <row r="819">
      <c r="F819" s="22"/>
      <c r="K819" s="23"/>
    </row>
    <row r="820">
      <c r="F820" s="22"/>
      <c r="K820" s="23"/>
    </row>
    <row r="821">
      <c r="F821" s="22"/>
      <c r="K821" s="23"/>
    </row>
    <row r="822">
      <c r="F822" s="22"/>
      <c r="K822" s="23"/>
    </row>
    <row r="823">
      <c r="F823" s="22"/>
      <c r="K823" s="23"/>
    </row>
    <row r="824">
      <c r="F824" s="22"/>
      <c r="K824" s="23"/>
    </row>
    <row r="825">
      <c r="F825" s="22"/>
      <c r="K825" s="23"/>
    </row>
    <row r="826">
      <c r="F826" s="22"/>
      <c r="K826" s="23"/>
    </row>
    <row r="827">
      <c r="F827" s="22"/>
      <c r="K827" s="23"/>
    </row>
    <row r="828">
      <c r="F828" s="22"/>
      <c r="K828" s="23"/>
    </row>
    <row r="829">
      <c r="F829" s="22"/>
      <c r="K829" s="23"/>
    </row>
    <row r="830">
      <c r="F830" s="22"/>
      <c r="K830" s="23"/>
    </row>
    <row r="831">
      <c r="F831" s="22"/>
      <c r="K831" s="23"/>
    </row>
    <row r="832">
      <c r="F832" s="22"/>
      <c r="K832" s="23"/>
    </row>
    <row r="833">
      <c r="F833" s="22"/>
      <c r="K833" s="23"/>
    </row>
    <row r="834">
      <c r="F834" s="22"/>
      <c r="K834" s="23"/>
    </row>
    <row r="835">
      <c r="F835" s="22"/>
      <c r="K835" s="23"/>
    </row>
    <row r="836">
      <c r="F836" s="22"/>
      <c r="K836" s="23"/>
    </row>
    <row r="837">
      <c r="F837" s="22"/>
      <c r="K837" s="23"/>
    </row>
    <row r="838">
      <c r="F838" s="22"/>
      <c r="K838" s="23"/>
    </row>
    <row r="839">
      <c r="F839" s="22"/>
      <c r="K839" s="23"/>
    </row>
    <row r="840">
      <c r="F840" s="22"/>
      <c r="K840" s="23"/>
    </row>
    <row r="841">
      <c r="F841" s="22"/>
      <c r="K841" s="23"/>
    </row>
    <row r="842">
      <c r="F842" s="22"/>
      <c r="K842" s="23"/>
    </row>
    <row r="843">
      <c r="F843" s="22"/>
      <c r="K843" s="23"/>
    </row>
    <row r="844">
      <c r="F844" s="22"/>
      <c r="K844" s="23"/>
    </row>
    <row r="845">
      <c r="F845" s="22"/>
      <c r="K845" s="23"/>
    </row>
    <row r="846">
      <c r="F846" s="22"/>
      <c r="K846" s="23"/>
    </row>
    <row r="847">
      <c r="F847" s="22"/>
      <c r="K847" s="23"/>
    </row>
    <row r="848">
      <c r="F848" s="22"/>
      <c r="K848" s="23"/>
    </row>
    <row r="849">
      <c r="F849" s="22"/>
      <c r="K849" s="23"/>
    </row>
    <row r="850">
      <c r="F850" s="22"/>
      <c r="K850" s="23"/>
    </row>
    <row r="851">
      <c r="F851" s="22"/>
      <c r="K851" s="23"/>
    </row>
    <row r="852">
      <c r="F852" s="22"/>
      <c r="K852" s="23"/>
    </row>
    <row r="853">
      <c r="F853" s="22"/>
      <c r="K853" s="23"/>
    </row>
    <row r="854">
      <c r="F854" s="22"/>
      <c r="K854" s="23"/>
    </row>
    <row r="855">
      <c r="F855" s="22"/>
      <c r="K855" s="23"/>
    </row>
    <row r="856">
      <c r="F856" s="22"/>
      <c r="K856" s="23"/>
    </row>
    <row r="857">
      <c r="F857" s="22"/>
      <c r="K857" s="23"/>
    </row>
    <row r="858">
      <c r="F858" s="22"/>
      <c r="K858" s="23"/>
    </row>
    <row r="859">
      <c r="F859" s="22"/>
      <c r="K859" s="23"/>
    </row>
    <row r="860">
      <c r="F860" s="22"/>
      <c r="K860" s="23"/>
    </row>
    <row r="861">
      <c r="F861" s="22"/>
      <c r="K861" s="23"/>
    </row>
    <row r="862">
      <c r="F862" s="22"/>
      <c r="K862" s="23"/>
    </row>
    <row r="863">
      <c r="F863" s="22"/>
      <c r="K863" s="23"/>
    </row>
    <row r="864">
      <c r="F864" s="22"/>
      <c r="K864" s="23"/>
    </row>
    <row r="865">
      <c r="F865" s="22"/>
      <c r="K865" s="23"/>
    </row>
    <row r="866">
      <c r="F866" s="22"/>
      <c r="K866" s="23"/>
    </row>
    <row r="867">
      <c r="F867" s="22"/>
      <c r="K867" s="23"/>
    </row>
    <row r="868">
      <c r="F868" s="22"/>
      <c r="K868" s="23"/>
    </row>
    <row r="869">
      <c r="F869" s="22"/>
      <c r="K869" s="23"/>
    </row>
    <row r="870">
      <c r="F870" s="22"/>
      <c r="K870" s="23"/>
    </row>
    <row r="871">
      <c r="F871" s="22"/>
      <c r="K871" s="23"/>
    </row>
    <row r="872">
      <c r="F872" s="22"/>
      <c r="K872" s="23"/>
    </row>
    <row r="873">
      <c r="F873" s="22"/>
      <c r="K873" s="23"/>
    </row>
    <row r="874">
      <c r="F874" s="22"/>
      <c r="K874" s="23"/>
    </row>
    <row r="875">
      <c r="F875" s="22"/>
      <c r="K875" s="23"/>
    </row>
    <row r="876">
      <c r="F876" s="22"/>
      <c r="K876" s="23"/>
    </row>
    <row r="877">
      <c r="F877" s="22"/>
      <c r="K877" s="23"/>
    </row>
    <row r="878">
      <c r="F878" s="22"/>
      <c r="K878" s="23"/>
    </row>
    <row r="879">
      <c r="F879" s="22"/>
      <c r="K879" s="23"/>
    </row>
    <row r="880">
      <c r="F880" s="22"/>
      <c r="K880" s="23"/>
    </row>
    <row r="881">
      <c r="F881" s="22"/>
      <c r="K881" s="23"/>
    </row>
    <row r="882">
      <c r="F882" s="22"/>
      <c r="K882" s="23"/>
    </row>
    <row r="883">
      <c r="F883" s="22"/>
      <c r="K883" s="23"/>
    </row>
    <row r="884">
      <c r="F884" s="22"/>
      <c r="K884" s="23"/>
    </row>
    <row r="885">
      <c r="F885" s="22"/>
      <c r="K885" s="23"/>
    </row>
    <row r="886">
      <c r="F886" s="22"/>
      <c r="K886" s="23"/>
    </row>
    <row r="887">
      <c r="F887" s="22"/>
      <c r="K887" s="23"/>
    </row>
    <row r="888">
      <c r="F888" s="22"/>
      <c r="K888" s="23"/>
    </row>
    <row r="889">
      <c r="F889" s="22"/>
      <c r="K889" s="23"/>
    </row>
    <row r="890">
      <c r="F890" s="22"/>
      <c r="K890" s="23"/>
    </row>
    <row r="891">
      <c r="F891" s="22"/>
      <c r="K891" s="23"/>
    </row>
    <row r="892">
      <c r="F892" s="22"/>
      <c r="K892" s="23"/>
    </row>
    <row r="893">
      <c r="F893" s="22"/>
      <c r="K893" s="23"/>
    </row>
    <row r="894">
      <c r="F894" s="22"/>
      <c r="K894" s="23"/>
    </row>
    <row r="895">
      <c r="F895" s="22"/>
      <c r="K895" s="23"/>
    </row>
    <row r="896">
      <c r="F896" s="22"/>
      <c r="K896" s="23"/>
    </row>
    <row r="897">
      <c r="F897" s="22"/>
      <c r="K897" s="23"/>
    </row>
    <row r="898">
      <c r="F898" s="22"/>
      <c r="K898" s="23"/>
    </row>
    <row r="899">
      <c r="F899" s="22"/>
      <c r="K899" s="23"/>
    </row>
    <row r="900">
      <c r="F900" s="22"/>
      <c r="K900" s="23"/>
    </row>
    <row r="901">
      <c r="F901" s="22"/>
      <c r="K901" s="23"/>
    </row>
    <row r="902">
      <c r="F902" s="22"/>
      <c r="K902" s="23"/>
    </row>
    <row r="903">
      <c r="F903" s="22"/>
      <c r="K903" s="23"/>
    </row>
    <row r="904">
      <c r="F904" s="22"/>
      <c r="K904" s="23"/>
    </row>
    <row r="905">
      <c r="F905" s="22"/>
      <c r="K905" s="23"/>
    </row>
    <row r="906">
      <c r="F906" s="22"/>
      <c r="K906" s="23"/>
    </row>
    <row r="907">
      <c r="F907" s="22"/>
      <c r="K907" s="23"/>
    </row>
    <row r="908">
      <c r="F908" s="22"/>
      <c r="K908" s="23"/>
    </row>
    <row r="909">
      <c r="F909" s="22"/>
      <c r="K909" s="23"/>
    </row>
    <row r="910">
      <c r="F910" s="22"/>
      <c r="K910" s="23"/>
    </row>
    <row r="911">
      <c r="F911" s="22"/>
      <c r="K911" s="23"/>
    </row>
    <row r="912">
      <c r="F912" s="22"/>
      <c r="K912" s="23"/>
    </row>
    <row r="913">
      <c r="F913" s="22"/>
      <c r="K913" s="23"/>
    </row>
    <row r="914">
      <c r="F914" s="22"/>
      <c r="K914" s="23"/>
    </row>
    <row r="915">
      <c r="F915" s="22"/>
      <c r="K915" s="23"/>
    </row>
    <row r="916">
      <c r="F916" s="22"/>
      <c r="K916" s="23"/>
    </row>
    <row r="917">
      <c r="F917" s="22"/>
      <c r="K917" s="23"/>
    </row>
    <row r="918">
      <c r="F918" s="22"/>
      <c r="K918" s="23"/>
    </row>
    <row r="919">
      <c r="F919" s="22"/>
      <c r="K919" s="23"/>
    </row>
    <row r="920">
      <c r="F920" s="22"/>
      <c r="K920" s="23"/>
    </row>
    <row r="921">
      <c r="F921" s="22"/>
      <c r="K921" s="23"/>
    </row>
    <row r="922">
      <c r="F922" s="22"/>
      <c r="K922" s="23"/>
    </row>
    <row r="923">
      <c r="F923" s="22"/>
      <c r="K923" s="23"/>
    </row>
    <row r="924">
      <c r="F924" s="22"/>
      <c r="K924" s="23"/>
    </row>
    <row r="925">
      <c r="F925" s="22"/>
      <c r="K925" s="23"/>
    </row>
    <row r="926">
      <c r="F926" s="22"/>
      <c r="K926" s="23"/>
    </row>
    <row r="927">
      <c r="F927" s="22"/>
      <c r="K927" s="23"/>
    </row>
    <row r="928">
      <c r="F928" s="22"/>
      <c r="K928" s="23"/>
    </row>
    <row r="929">
      <c r="F929" s="22"/>
      <c r="K929" s="23"/>
    </row>
    <row r="930">
      <c r="F930" s="22"/>
      <c r="K930" s="23"/>
    </row>
    <row r="931">
      <c r="F931" s="22"/>
      <c r="K931" s="23"/>
    </row>
    <row r="932">
      <c r="F932" s="22"/>
      <c r="K932" s="23"/>
    </row>
    <row r="933">
      <c r="F933" s="22"/>
      <c r="K933" s="23"/>
    </row>
    <row r="934">
      <c r="F934" s="22"/>
      <c r="K934" s="23"/>
    </row>
    <row r="935">
      <c r="F935" s="22"/>
      <c r="K935" s="23"/>
    </row>
    <row r="936">
      <c r="F936" s="22"/>
      <c r="K936" s="23"/>
    </row>
    <row r="937">
      <c r="F937" s="22"/>
      <c r="K937" s="23"/>
    </row>
    <row r="938">
      <c r="F938" s="22"/>
      <c r="K938" s="23"/>
    </row>
    <row r="939">
      <c r="F939" s="22"/>
      <c r="K939" s="23"/>
    </row>
    <row r="940">
      <c r="F940" s="22"/>
      <c r="K940" s="23"/>
    </row>
    <row r="941">
      <c r="F941" s="22"/>
      <c r="K941" s="23"/>
    </row>
    <row r="942">
      <c r="F942" s="22"/>
      <c r="K942" s="23"/>
    </row>
    <row r="943">
      <c r="F943" s="22"/>
      <c r="K943" s="23"/>
    </row>
    <row r="944">
      <c r="F944" s="22"/>
      <c r="K944" s="23"/>
    </row>
    <row r="945">
      <c r="F945" s="22"/>
      <c r="K945" s="23"/>
    </row>
    <row r="946">
      <c r="F946" s="22"/>
      <c r="K946" s="23"/>
    </row>
    <row r="947">
      <c r="F947" s="22"/>
      <c r="K947" s="23"/>
    </row>
    <row r="948">
      <c r="F948" s="22"/>
      <c r="K948" s="23"/>
    </row>
    <row r="949">
      <c r="F949" s="22"/>
      <c r="K949" s="23"/>
    </row>
    <row r="950">
      <c r="F950" s="22"/>
      <c r="K950" s="23"/>
    </row>
    <row r="951">
      <c r="F951" s="22"/>
      <c r="K951" s="23"/>
    </row>
    <row r="952">
      <c r="F952" s="22"/>
      <c r="K952" s="23"/>
    </row>
    <row r="953">
      <c r="F953" s="22"/>
      <c r="K953" s="23"/>
    </row>
    <row r="954">
      <c r="F954" s="22"/>
      <c r="K954" s="23"/>
    </row>
    <row r="955">
      <c r="F955" s="22"/>
      <c r="K955" s="23"/>
    </row>
    <row r="956">
      <c r="F956" s="22"/>
      <c r="K956" s="23"/>
    </row>
    <row r="957">
      <c r="F957" s="22"/>
      <c r="K957" s="23"/>
    </row>
    <row r="958">
      <c r="F958" s="22"/>
      <c r="K958" s="23"/>
    </row>
    <row r="959">
      <c r="F959" s="22"/>
      <c r="K959" s="23"/>
    </row>
    <row r="960">
      <c r="F960" s="22"/>
      <c r="K960" s="23"/>
    </row>
    <row r="961">
      <c r="F961" s="22"/>
      <c r="K961" s="23"/>
    </row>
    <row r="962">
      <c r="F962" s="22"/>
      <c r="K962" s="23"/>
    </row>
    <row r="963">
      <c r="F963" s="22"/>
      <c r="K963" s="23"/>
    </row>
    <row r="964">
      <c r="F964" s="22"/>
      <c r="K964" s="23"/>
    </row>
    <row r="965">
      <c r="F965" s="22"/>
      <c r="K965" s="23"/>
    </row>
    <row r="966">
      <c r="F966" s="22"/>
      <c r="K966" s="23"/>
    </row>
    <row r="967">
      <c r="F967" s="22"/>
      <c r="K967" s="23"/>
    </row>
    <row r="968">
      <c r="F968" s="22"/>
      <c r="K968" s="23"/>
    </row>
    <row r="969">
      <c r="F969" s="22"/>
      <c r="K969" s="23"/>
    </row>
    <row r="970">
      <c r="F970" s="22"/>
      <c r="K970" s="23"/>
    </row>
    <row r="971">
      <c r="F971" s="22"/>
      <c r="K971" s="23"/>
    </row>
    <row r="972">
      <c r="F972" s="22"/>
      <c r="K972" s="23"/>
    </row>
    <row r="973">
      <c r="F973" s="22"/>
      <c r="K973" s="23"/>
    </row>
    <row r="974">
      <c r="F974" s="22"/>
      <c r="K974" s="23"/>
    </row>
    <row r="975">
      <c r="F975" s="22"/>
      <c r="K975" s="23"/>
    </row>
    <row r="976">
      <c r="F976" s="22"/>
      <c r="K976" s="23"/>
    </row>
    <row r="977">
      <c r="F977" s="22"/>
      <c r="K977" s="23"/>
    </row>
    <row r="978">
      <c r="F978" s="22"/>
      <c r="K978" s="23"/>
    </row>
    <row r="979">
      <c r="F979" s="22"/>
      <c r="K979" s="23"/>
    </row>
    <row r="980">
      <c r="F980" s="22"/>
      <c r="K980" s="23"/>
    </row>
    <row r="981">
      <c r="F981" s="22"/>
      <c r="K981" s="23"/>
    </row>
    <row r="982">
      <c r="F982" s="22"/>
      <c r="K982" s="23"/>
    </row>
    <row r="983">
      <c r="F983" s="22"/>
      <c r="K983" s="23"/>
    </row>
    <row r="984">
      <c r="F984" s="22"/>
      <c r="K984" s="23"/>
    </row>
    <row r="985">
      <c r="F985" s="22"/>
      <c r="K985" s="23"/>
    </row>
    <row r="986">
      <c r="F986" s="22"/>
      <c r="K986" s="23"/>
    </row>
    <row r="987">
      <c r="F987" s="22"/>
      <c r="K987" s="23"/>
    </row>
    <row r="988">
      <c r="F988" s="22"/>
      <c r="K988" s="23"/>
    </row>
    <row r="989">
      <c r="F989" s="22"/>
      <c r="K989" s="23"/>
    </row>
    <row r="990">
      <c r="F990" s="22"/>
      <c r="K990" s="23"/>
    </row>
    <row r="991">
      <c r="F991" s="22"/>
      <c r="K991" s="23"/>
    </row>
    <row r="992">
      <c r="F992" s="22"/>
      <c r="K992" s="23"/>
    </row>
    <row r="993">
      <c r="F993" s="22"/>
      <c r="K993" s="23"/>
    </row>
    <row r="994">
      <c r="F994" s="22"/>
      <c r="K994" s="23"/>
    </row>
    <row r="995">
      <c r="F995" s="22"/>
      <c r="K995" s="23"/>
    </row>
    <row r="996">
      <c r="F996" s="22"/>
      <c r="K996" s="23"/>
    </row>
    <row r="997">
      <c r="F997" s="22"/>
      <c r="K997" s="23"/>
    </row>
    <row r="998">
      <c r="F998" s="22"/>
      <c r="K998" s="23"/>
    </row>
    <row r="999">
      <c r="F999" s="22"/>
      <c r="K999" s="23"/>
    </row>
    <row r="1000">
      <c r="F1000" s="22"/>
      <c r="K1000" s="23"/>
    </row>
  </sheetData>
  <mergeCells count="27">
    <mergeCell ref="N3:O3"/>
    <mergeCell ref="M5:N5"/>
    <mergeCell ref="M6:N6"/>
    <mergeCell ref="N7:O7"/>
    <mergeCell ref="M12:O12"/>
    <mergeCell ref="M14:O14"/>
    <mergeCell ref="M20:N20"/>
    <mergeCell ref="M23:N23"/>
    <mergeCell ref="M24:O24"/>
    <mergeCell ref="M27:N27"/>
    <mergeCell ref="N28:O28"/>
    <mergeCell ref="M32:N32"/>
    <mergeCell ref="M33:O33"/>
    <mergeCell ref="M35:N35"/>
    <mergeCell ref="N49:O49"/>
    <mergeCell ref="M50:O50"/>
    <mergeCell ref="N51:O51"/>
    <mergeCell ref="N52:O52"/>
    <mergeCell ref="M53:N53"/>
    <mergeCell ref="N60:O60"/>
    <mergeCell ref="N34:O34"/>
    <mergeCell ref="N38:O38"/>
    <mergeCell ref="M40:N40"/>
    <mergeCell ref="N41:O41"/>
    <mergeCell ref="N42:O42"/>
    <mergeCell ref="N45:O45"/>
    <mergeCell ref="N48:O48"/>
  </mergeCells>
  <drawing r:id="rId1"/>
</worksheet>
</file>